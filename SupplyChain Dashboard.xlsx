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D:\Omar\Excel Course\"/>
    </mc:Choice>
  </mc:AlternateContent>
  <xr:revisionPtr revIDLastSave="0" documentId="8_{3AD92FFD-329D-4C67-B1A4-B2BFD22F4454}" xr6:coauthVersionLast="47" xr6:coauthVersionMax="47" xr10:uidLastSave="{00000000-0000-0000-0000-000000000000}"/>
  <bookViews>
    <workbookView xWindow="-110" yWindow="-110" windowWidth="19420" windowHeight="10300" tabRatio="508" activeTab="1" xr2:uid="{00000000-000D-0000-FFFF-FFFF00000000}"/>
  </bookViews>
  <sheets>
    <sheet name="Analysis" sheetId="1" r:id="rId1"/>
    <sheet name="Dashboard" sheetId="2" r:id="rId2"/>
  </sheets>
  <definedNames>
    <definedName name="Slicer_Category">#N/A</definedName>
    <definedName name="Slicer_OrderDate__Month">#N/A</definedName>
    <definedName name="Slicer_OrderStatus">#N/A</definedName>
    <definedName name="Slicer_Region">#N/A</definedName>
  </definedNames>
  <calcPr calcId="162913"/>
  <pivotCaches>
    <pivotCache cacheId="831" r:id="rId3"/>
    <pivotCache cacheId="885" r:id="rId4"/>
    <pivotCache cacheId="888" r:id="rId5"/>
    <pivotCache cacheId="891" r:id="rId6"/>
    <pivotCache cacheId="894" r:id="rId7"/>
  </pivotCaches>
  <extLst>
    <ext xmlns:x14="http://schemas.microsoft.com/office/spreadsheetml/2009/9/main" uri="{876F7934-8845-4945-9796-88D515C7AA90}">
      <x14:pivotCaches>
        <pivotCache cacheId="177"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cts_28244ceb-82d0-4e01-9fbb-1279bc13d881" name="Dim_Products" connection="Query - Dim_Products"/>
          <x15:modelTable id="Dim_Suppliers_74a2a604-cc53-45f1-89e6-da746620de5c" name="Dim_Suppliers" connection="Query - Dim_Suppliers"/>
          <x15:modelTable id="Dim_Warehouses_c9e824b6-5520-4d74-8ec6-2b4fee3dc988" name="Dim_Warehouses" connection="Query - Dim_Warehouses"/>
          <x15:modelTable id="Fact_Orders_58524988-f6e0-4e02-a111-8c002873e199" name="Fact_Orders" connection="Query - Fact_Orders"/>
        </x15:modelTables>
        <x15:modelRelationships>
          <x15:modelRelationship fromTable="Fact_Orders" fromColumn="ProductID" toTable="Dim_Products" toColumn="ProductID"/>
          <x15:modelRelationship fromTable="Fact_Orders" fromColumn="SupplierID" toTable="Dim_Suppliers" toColumn="SupplierID"/>
          <x15:modelRelationship fromTable="Fact_Orders" fromColumn="WarehouseID" toTable="Dim_Warehouses" toColumn="WarehouseID"/>
        </x15:modelRelationships>
        <x15:extLst>
          <ext xmlns:x16="http://schemas.microsoft.com/office/spreadsheetml/2014/11/main" uri="{9835A34E-60A6-4A7C-AAB8-D5F71C897F49}">
            <x16:modelTimeGroupings>
              <x16:modelTimeGrouping tableName="Fact_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96E8D5-408D-45C9-94B1-0B2CCC28D5BD}" name="Query - Dim_Products" description="Connection to the 'Dim_Products' query in the workbook." type="100" refreshedVersion="8" minRefreshableVersion="5">
    <extLst>
      <ext xmlns:x15="http://schemas.microsoft.com/office/spreadsheetml/2010/11/main" uri="{DE250136-89BD-433C-8126-D09CA5730AF9}">
        <x15:connection id="3bca31dd-b4a9-4ba0-868a-452bcc92759a"/>
      </ext>
    </extLst>
  </connection>
  <connection id="2" xr16:uid="{602FC112-BB15-4B7E-9A07-D32092654431}" name="Query - Dim_Suppliers" description="Connection to the 'Dim_Suppliers' query in the workbook." type="100" refreshedVersion="8" minRefreshableVersion="5">
    <extLst>
      <ext xmlns:x15="http://schemas.microsoft.com/office/spreadsheetml/2010/11/main" uri="{DE250136-89BD-433C-8126-D09CA5730AF9}">
        <x15:connection id="9f10e8cc-2d37-4bff-93fe-56fbd7bf3a06"/>
      </ext>
    </extLst>
  </connection>
  <connection id="3" xr16:uid="{30718982-29F4-477B-AB27-A1835BD77807}" name="Query - Dim_Warehouses" description="Connection to the 'Dim_Warehouses' query in the workbook." type="100" refreshedVersion="8" minRefreshableVersion="5">
    <extLst>
      <ext xmlns:x15="http://schemas.microsoft.com/office/spreadsheetml/2010/11/main" uri="{DE250136-89BD-433C-8126-D09CA5730AF9}">
        <x15:connection id="52dac192-57a6-4b8e-9d59-8e7dfd7e112c"/>
      </ext>
    </extLst>
  </connection>
  <connection id="4" xr16:uid="{BE57D9CB-29F4-4FD0-B575-487C9549F122}" name="Query - Fact_Orders" description="Connection to the 'Fact_Orders' query in the workbook." type="100" refreshedVersion="8" minRefreshableVersion="5">
    <extLst>
      <ext xmlns:x15="http://schemas.microsoft.com/office/spreadsheetml/2010/11/main" uri="{DE250136-89BD-433C-8126-D09CA5730AF9}">
        <x15:connection id="d11505f2-3875-4caa-b6f7-560e877c29e8"/>
      </ext>
    </extLst>
  </connection>
  <connection id="5" xr16:uid="{1E42CE7F-1F2F-4B7A-B6DB-CAB4387C80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<sst xmlns="http://schemas.openxmlformats.org/spreadsheetml/2006/main" count="56" uniqueCount="50">
  <si>
    <t>Total Revenue</t>
  </si>
  <si>
    <t>Number of Orders</t>
  </si>
  <si>
    <t>Average LTD</t>
  </si>
  <si>
    <t>Total QTY</t>
  </si>
  <si>
    <t>Alabama</t>
  </si>
  <si>
    <t>Colorado</t>
  </si>
  <si>
    <t>Connecticut</t>
  </si>
  <si>
    <t>Illinois</t>
  </si>
  <si>
    <t>Kentucky</t>
  </si>
  <si>
    <t>Michigan</t>
  </si>
  <si>
    <t>Minnesota</t>
  </si>
  <si>
    <t>Mississippi</t>
  </si>
  <si>
    <t>Nevada</t>
  </si>
  <si>
    <t>New Jersey</t>
  </si>
  <si>
    <t>Oklahoma</t>
  </si>
  <si>
    <t>Rhode Island</t>
  </si>
  <si>
    <t>West Virginia</t>
  </si>
  <si>
    <t>Wisconsin</t>
  </si>
  <si>
    <t>Grand Total</t>
  </si>
  <si>
    <t>Cancelled</t>
  </si>
  <si>
    <t>Region</t>
  </si>
  <si>
    <t>Delivered</t>
  </si>
  <si>
    <t>Pending</t>
  </si>
  <si>
    <t>Shipped</t>
  </si>
  <si>
    <t>Count of OrderID</t>
  </si>
  <si>
    <t>Order Status</t>
  </si>
  <si>
    <t>Automotive</t>
  </si>
  <si>
    <t>Education</t>
  </si>
  <si>
    <t>Electronics</t>
  </si>
  <si>
    <t>Fashion</t>
  </si>
  <si>
    <t>Furniture</t>
  </si>
  <si>
    <t>Home Appliances</t>
  </si>
  <si>
    <t>Kitchen</t>
  </si>
  <si>
    <t>Office Supplies</t>
  </si>
  <si>
    <t>Personal Care</t>
  </si>
  <si>
    <t>Sports</t>
  </si>
  <si>
    <t>Category</t>
  </si>
  <si>
    <t>Sep</t>
  </si>
  <si>
    <t>Oct</t>
  </si>
  <si>
    <t>Nov</t>
  </si>
  <si>
    <t>Dec</t>
  </si>
  <si>
    <t>Jan</t>
  </si>
  <si>
    <t>Feb</t>
  </si>
  <si>
    <t>Mar</t>
  </si>
  <si>
    <t>Apr</t>
  </si>
  <si>
    <t>May</t>
  </si>
  <si>
    <t>Jun</t>
  </si>
  <si>
    <t>Jul</t>
  </si>
  <si>
    <t>Aug</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</si>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</sst>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quot;$&quot;* #,##0_);_(&quot;$&quot;* \(#,##0\);_(&quot;$&quot;* &quot;-&quot;??_);_(@_)"/>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1" fillId="2" borderId="1" xfId="0" applyFont="1" applyFill="1" applyBorder="1"/>
  </cellXfs>
  <cellStyles count="1">
    <cellStyle name="Normal" xfId="0" builtinId="0"/>
  </cellStyles>
  <dxfs count="54">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 Dashboard.xlsx]Analysis!Total Revenue by Region</c:name>
    <c:fmtId val="7"/>
  </c:pivotSource>
  <c:chart>
    <c:title>
      <c:tx>
        <c:rich>
          <a:bodyPr rot="0" spcFirstLastPara="1" vertOverflow="ellipsis" vert="horz" wrap="square" anchor="ctr" anchorCtr="1"/>
          <a:lstStyle/>
          <a:p>
            <a:pPr algn="ctr" rtl="0">
              <a:defRPr sz="1800" b="1" i="0" u="none" strike="noStrike" kern="1200" spc="0" baseline="0">
                <a:solidFill>
                  <a:schemeClr val="tx1">
                    <a:lumMod val="50000"/>
                    <a:lumOff val="50000"/>
                  </a:schemeClr>
                </a:solidFill>
                <a:latin typeface="+mn-lt"/>
                <a:ea typeface="+mn-ea"/>
                <a:cs typeface="+mn-cs"/>
              </a:defRPr>
            </a:pPr>
            <a:r>
              <a:rPr lang="en-US" sz="1800" b="1">
                <a:solidFill>
                  <a:schemeClr val="tx1">
                    <a:lumMod val="50000"/>
                    <a:lumOff val="50000"/>
                  </a:schemeClr>
                </a:solidFill>
              </a:rPr>
              <a:t>Total Revenue</a:t>
            </a:r>
            <a:r>
              <a:rPr lang="en-US" sz="1800" b="1" baseline="0">
                <a:solidFill>
                  <a:schemeClr val="tx1">
                    <a:lumMod val="50000"/>
                    <a:lumOff val="50000"/>
                  </a:schemeClr>
                </a:solidFill>
              </a:rPr>
              <a:t> by Region</a:t>
            </a:r>
            <a:endParaRPr lang="en-US" sz="1800"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lgn="ctr" rtl="0">
            <a:defRPr sz="18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905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0"/>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779E-3"/>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A8B668B-B901-425E-8A70-6ABFDDB5485A}" type="VALUE">
                  <a:rPr lang="en-US" sz="400"/>
                  <a:pPr>
                    <a:defRPr sz="5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A8B668B-B901-425E-8A70-6ABFDDB5485A}" type="VALUE">
                  <a:rPr lang="en-US" sz="400"/>
                  <a:pPr>
                    <a:defRPr sz="5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905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8.3333333333333592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779E-3"/>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0"/>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EA8B668B-B901-425E-8A70-6ABFDDB5485A}" type="VALUE">
                  <a:rPr lang="en-US" sz="700"/>
                  <a:pPr>
                    <a:defRPr sz="700"/>
                  </a:pPr>
                  <a:t>[VALUE]</a:t>
                </a:fld>
                <a:endParaRPr lang="en-US"/>
              </a:p>
            </c:rich>
          </c:tx>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905E-3"/>
              <c:y val="-7.407407407407407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8.3333333333333592E-3"/>
              <c:y val="-2.3148148148148147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2.7777777777777779E-3"/>
              <c:y val="1.3888888888888805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dLbl>
          <c:idx val="0"/>
          <c:layout>
            <c:manualLayout>
              <c:x val="0"/>
              <c:y val="9.2592592592591737E-3"/>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01901209186001E-2"/>
          <c:y val="0.10361290322580645"/>
          <c:w val="0.92578840834666865"/>
          <c:h val="0.74056529224169565"/>
        </c:manualLayout>
      </c:layout>
      <c:barChart>
        <c:barDir val="col"/>
        <c:grouping val="clustered"/>
        <c:varyColors val="0"/>
        <c:ser>
          <c:idx val="0"/>
          <c:order val="0"/>
          <c:tx>
            <c:strRef>
              <c:f>Analysis!$G$1</c:f>
              <c:strCache>
                <c:ptCount val="1"/>
                <c:pt idx="0">
                  <c:v>Total</c:v>
                </c:pt>
              </c:strCache>
            </c:strRef>
          </c:tx>
          <c:spPr>
            <a:solidFill>
              <a:schemeClr val="tx1">
                <a:lumMod val="50000"/>
                <a:lumOff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round/>
            </a:ln>
            <a:effectLst/>
          </c:spPr>
          <c:invertIfNegative val="0"/>
          <c:dLbls>
            <c:dLbl>
              <c:idx val="0"/>
              <c:tx>
                <c:rich>
                  <a:bodyPr/>
                  <a:lstStyle/>
                  <a:p>
                    <a:fld id="{EA8B668B-B901-425E-8A70-6ABFDDB5485A}" type="VALUE">
                      <a:rPr lang="en-US" sz="700"/>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354-4DCB-8116-48E4945BD961}"/>
                </c:ext>
              </c:extLst>
            </c:dLbl>
            <c:dLbl>
              <c:idx val="1"/>
              <c:layout>
                <c:manualLayout>
                  <c:x val="-2.7777777777777905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54-4DCB-8116-48E4945BD961}"/>
                </c:ext>
              </c:extLst>
            </c:dLbl>
            <c:dLbl>
              <c:idx val="2"/>
              <c:layout>
                <c:manualLayout>
                  <c:x val="-8.3333333333333592E-3"/>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54-4DCB-8116-48E4945BD961}"/>
                </c:ext>
              </c:extLst>
            </c:dLbl>
            <c:dLbl>
              <c:idx val="3"/>
              <c:layout>
                <c:manualLayout>
                  <c:x val="2.7777777777777779E-3"/>
                  <c:y val="1.388888888888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54-4DCB-8116-48E4945BD961}"/>
                </c:ext>
              </c:extLst>
            </c:dLbl>
            <c:dLbl>
              <c:idx val="4"/>
              <c:layout>
                <c:manualLayout>
                  <c:x val="0"/>
                  <c:y val="9.25925925925917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54-4DCB-8116-48E4945BD961}"/>
                </c:ext>
              </c:extLst>
            </c:dLbl>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Analysis!$F$2:$F$16</c:f>
              <c:strCache>
                <c:ptCount val="14"/>
                <c:pt idx="0">
                  <c:v>Kentucky</c:v>
                </c:pt>
                <c:pt idx="1">
                  <c:v>West Virginia</c:v>
                </c:pt>
                <c:pt idx="2">
                  <c:v>Illinois</c:v>
                </c:pt>
                <c:pt idx="3">
                  <c:v>Connecticut</c:v>
                </c:pt>
                <c:pt idx="4">
                  <c:v>Colorado</c:v>
                </c:pt>
                <c:pt idx="5">
                  <c:v>New Jersey</c:v>
                </c:pt>
                <c:pt idx="6">
                  <c:v>Alabama</c:v>
                </c:pt>
                <c:pt idx="7">
                  <c:v>Nevada</c:v>
                </c:pt>
                <c:pt idx="8">
                  <c:v>Mississippi</c:v>
                </c:pt>
                <c:pt idx="9">
                  <c:v>Oklahoma</c:v>
                </c:pt>
                <c:pt idx="10">
                  <c:v>Rhode Island</c:v>
                </c:pt>
                <c:pt idx="11">
                  <c:v>Minnesota</c:v>
                </c:pt>
                <c:pt idx="12">
                  <c:v>Wisconsin</c:v>
                </c:pt>
                <c:pt idx="13">
                  <c:v>Michigan</c:v>
                </c:pt>
              </c:strCache>
            </c:strRef>
          </c:cat>
          <c:val>
            <c:numRef>
              <c:f>Analysis!$G$2:$G$16</c:f>
              <c:numCache>
                <c:formatCode>0</c:formatCode>
                <c:ptCount val="14"/>
                <c:pt idx="0">
                  <c:v>94450320.820000067</c:v>
                </c:pt>
                <c:pt idx="1">
                  <c:v>47717270.080000028</c:v>
                </c:pt>
                <c:pt idx="2">
                  <c:v>47507689.490000002</c:v>
                </c:pt>
                <c:pt idx="3">
                  <c:v>47097766.649999991</c:v>
                </c:pt>
                <c:pt idx="4">
                  <c:v>46734227.640000068</c:v>
                </c:pt>
                <c:pt idx="5">
                  <c:v>46319602.230000034</c:v>
                </c:pt>
                <c:pt idx="6">
                  <c:v>45612837.640000038</c:v>
                </c:pt>
                <c:pt idx="7">
                  <c:v>45599415.659999952</c:v>
                </c:pt>
                <c:pt idx="8">
                  <c:v>45397183.769999988</c:v>
                </c:pt>
                <c:pt idx="9">
                  <c:v>44657371.459999986</c:v>
                </c:pt>
                <c:pt idx="10">
                  <c:v>43950097.630000018</c:v>
                </c:pt>
                <c:pt idx="11">
                  <c:v>43946197.669999972</c:v>
                </c:pt>
                <c:pt idx="12">
                  <c:v>43584954.630000003</c:v>
                </c:pt>
                <c:pt idx="13">
                  <c:v>43214934.550000012</c:v>
                </c:pt>
              </c:numCache>
            </c:numRef>
          </c:val>
          <c:extLst>
            <c:ext xmlns:c16="http://schemas.microsoft.com/office/drawing/2014/chart" uri="{C3380CC4-5D6E-409C-BE32-E72D297353CC}">
              <c16:uniqueId val="{00000005-6354-4DCB-8116-48E4945BD961}"/>
            </c:ext>
          </c:extLst>
        </c:ser>
        <c:dLbls>
          <c:dLblPos val="outEnd"/>
          <c:showLegendKey val="0"/>
          <c:showVal val="1"/>
          <c:showCatName val="0"/>
          <c:showSerName val="0"/>
          <c:showPercent val="0"/>
          <c:showBubbleSize val="0"/>
        </c:dLbls>
        <c:gapWidth val="219"/>
        <c:overlap val="-27"/>
        <c:axId val="287088816"/>
        <c:axId val="287085576"/>
      </c:barChart>
      <c:catAx>
        <c:axId val="28708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87085576"/>
        <c:crosses val="autoZero"/>
        <c:auto val="1"/>
        <c:lblAlgn val="ctr"/>
        <c:lblOffset val="100"/>
        <c:noMultiLvlLbl val="0"/>
      </c:catAx>
      <c:valAx>
        <c:axId val="287085576"/>
        <c:scaling>
          <c:orientation val="minMax"/>
        </c:scaling>
        <c:delete val="1"/>
        <c:axPos val="l"/>
        <c:numFmt formatCode="0" sourceLinked="1"/>
        <c:majorTickMark val="out"/>
        <c:minorTickMark val="none"/>
        <c:tickLblPos val="nextTo"/>
        <c:crossAx val="287088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 Dashboard.xlsx]Analysis!Orders by Status</c:name>
    <c:fmtId val="3"/>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t>Orders by Status</a:t>
            </a: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217191601049874"/>
          <c:y val="0.10299467774861476"/>
          <c:w val="0.52232305336832896"/>
          <c:h val="0.87053842228054823"/>
        </c:manualLayout>
      </c:layout>
      <c:pieChart>
        <c:varyColors val="1"/>
        <c:ser>
          <c:idx val="0"/>
          <c:order val="0"/>
          <c:tx>
            <c:strRef>
              <c:f>Analysis!$J$1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A9-4ED3-A2DD-574BE79D8F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A9-4ED3-A2DD-574BE79D8F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A9-4ED3-A2DD-574BE79D8F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A9-4ED3-A2DD-574BE79D8FB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Analysis!$I$2:$I$6</c:f>
              <c:strCache>
                <c:ptCount val="4"/>
                <c:pt idx="0">
                  <c:v>Cancelled</c:v>
                </c:pt>
                <c:pt idx="1">
                  <c:v>Delivered</c:v>
                </c:pt>
                <c:pt idx="2">
                  <c:v>Pending</c:v>
                </c:pt>
                <c:pt idx="3">
                  <c:v>Shipped</c:v>
                </c:pt>
              </c:strCache>
            </c:strRef>
          </c:cat>
          <c:val>
            <c:numRef>
              <c:f>Analysis!$J$2:$J$6</c:f>
              <c:numCache>
                <c:formatCode>General</c:formatCode>
                <c:ptCount val="4"/>
                <c:pt idx="0">
                  <c:v>3068</c:v>
                </c:pt>
                <c:pt idx="1">
                  <c:v>2967</c:v>
                </c:pt>
                <c:pt idx="2">
                  <c:v>3009</c:v>
                </c:pt>
                <c:pt idx="3">
                  <c:v>2956</c:v>
                </c:pt>
              </c:numCache>
            </c:numRef>
          </c:val>
          <c:extLst>
            <c:ext xmlns:c16="http://schemas.microsoft.com/office/drawing/2014/chart" uri="{C3380CC4-5D6E-409C-BE32-E72D297353CC}">
              <c16:uniqueId val="{00000008-47A9-4ED3-A2DD-574BE79D8FB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 Dashboard.xlsx]Analysis!Total QTY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QTY by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Analysis!$J$8</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Analysis!$I$9:$I$19</c:f>
              <c:strCache>
                <c:ptCount val="10"/>
                <c:pt idx="0">
                  <c:v>Fashion</c:v>
                </c:pt>
                <c:pt idx="1">
                  <c:v>Home Appliances</c:v>
                </c:pt>
                <c:pt idx="2">
                  <c:v>Office Supplies</c:v>
                </c:pt>
                <c:pt idx="3">
                  <c:v>Kitchen</c:v>
                </c:pt>
                <c:pt idx="4">
                  <c:v>Sports</c:v>
                </c:pt>
                <c:pt idx="5">
                  <c:v>Furniture</c:v>
                </c:pt>
                <c:pt idx="6">
                  <c:v>Personal Care</c:v>
                </c:pt>
                <c:pt idx="7">
                  <c:v>Electronics</c:v>
                </c:pt>
                <c:pt idx="8">
                  <c:v>Automotive</c:v>
                </c:pt>
                <c:pt idx="9">
                  <c:v>Education</c:v>
                </c:pt>
              </c:strCache>
            </c:strRef>
          </c:cat>
          <c:val>
            <c:numRef>
              <c:f>Analysis!$J$9:$J$19</c:f>
              <c:numCache>
                <c:formatCode>General</c:formatCode>
                <c:ptCount val="10"/>
                <c:pt idx="0">
                  <c:v>76699</c:v>
                </c:pt>
                <c:pt idx="1">
                  <c:v>62818</c:v>
                </c:pt>
                <c:pt idx="2">
                  <c:v>62543</c:v>
                </c:pt>
                <c:pt idx="3">
                  <c:v>61123</c:v>
                </c:pt>
                <c:pt idx="4">
                  <c:v>60896</c:v>
                </c:pt>
                <c:pt idx="5">
                  <c:v>59985</c:v>
                </c:pt>
                <c:pt idx="6">
                  <c:v>59712</c:v>
                </c:pt>
                <c:pt idx="7">
                  <c:v>59592</c:v>
                </c:pt>
                <c:pt idx="8">
                  <c:v>57065</c:v>
                </c:pt>
                <c:pt idx="9">
                  <c:v>50564</c:v>
                </c:pt>
              </c:numCache>
            </c:numRef>
          </c:val>
          <c:extLst>
            <c:ext xmlns:c16="http://schemas.microsoft.com/office/drawing/2014/chart" uri="{C3380CC4-5D6E-409C-BE32-E72D297353CC}">
              <c16:uniqueId val="{00000000-C072-4AB1-9209-1375135CAF67}"/>
            </c:ext>
          </c:extLst>
        </c:ser>
        <c:dLbls>
          <c:dLblPos val="outEnd"/>
          <c:showLegendKey val="0"/>
          <c:showVal val="1"/>
          <c:showCatName val="0"/>
          <c:showSerName val="0"/>
          <c:showPercent val="0"/>
          <c:showBubbleSize val="0"/>
        </c:dLbls>
        <c:gapWidth val="219"/>
        <c:overlap val="-27"/>
        <c:axId val="2131794864"/>
        <c:axId val="2131795584"/>
      </c:barChart>
      <c:catAx>
        <c:axId val="213179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31795584"/>
        <c:crosses val="autoZero"/>
        <c:auto val="1"/>
        <c:lblAlgn val="ctr"/>
        <c:lblOffset val="100"/>
        <c:noMultiLvlLbl val="0"/>
      </c:catAx>
      <c:valAx>
        <c:axId val="2131795584"/>
        <c:scaling>
          <c:orientation val="minMax"/>
        </c:scaling>
        <c:delete val="1"/>
        <c:axPos val="l"/>
        <c:numFmt formatCode="General" sourceLinked="1"/>
        <c:majorTickMark val="out"/>
        <c:minorTickMark val="none"/>
        <c:tickLblPos val="nextTo"/>
        <c:crossAx val="213179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 Dashboard.xlsx]Analysis!Monthly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568E-2"/>
              <c:y val="5.24883347914843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499999999999997E-2"/>
              <c:y val="5.248833479148431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722222222222222E-2"/>
              <c:y val="-8.17709244677748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166666666666771E-2"/>
              <c:y val="-7.25116652085155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658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833333333333433E-2"/>
              <c:y val="5.24883347914843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568E-2"/>
              <c:y val="5.24883347914843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499999999999997E-2"/>
              <c:y val="5.248833479148431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722222222222222E-2"/>
              <c:y val="-8.17709244677748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166666666666771E-2"/>
              <c:y val="-7.25116652085155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658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833333333333433E-2"/>
              <c:y val="5.24883347914843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568E-2"/>
              <c:y val="5.2488334791484396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499999999999997E-2"/>
              <c:y val="5.2488334791484313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722222222222222E-2"/>
              <c:y val="-8.1770924467774855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166666666666771E-2"/>
              <c:y val="-7.2511665208515555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055555555555658E-2"/>
              <c:y val="4.3229075532225054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833333333333433E-2"/>
              <c:y val="5.2488334791484396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Analysis!$M$1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4.9055555555555568E-2"/>
                  <c:y val="5.2488334791484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F9-4D80-9091-3DF1105F0EA8}"/>
                </c:ext>
              </c:extLst>
            </c:dLbl>
            <c:dLbl>
              <c:idx val="3"/>
              <c:layout>
                <c:manualLayout>
                  <c:x val="-4.3499999999999997E-2"/>
                  <c:y val="5.24883347914843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F9-4D80-9091-3DF1105F0EA8}"/>
                </c:ext>
              </c:extLst>
            </c:dLbl>
            <c:dLbl>
              <c:idx val="5"/>
              <c:layout>
                <c:manualLayout>
                  <c:x val="-4.0722222222222222E-2"/>
                  <c:y val="-8.1770924467774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F9-4D80-9091-3DF1105F0EA8}"/>
                </c:ext>
              </c:extLst>
            </c:dLbl>
            <c:dLbl>
              <c:idx val="6"/>
              <c:layout>
                <c:manualLayout>
                  <c:x val="-6.0166666666666771E-2"/>
                  <c:y val="-7.25116652085155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F9-4D80-9091-3DF1105F0EA8}"/>
                </c:ext>
              </c:extLst>
            </c:dLbl>
            <c:dLbl>
              <c:idx val="8"/>
              <c:layout>
                <c:manualLayout>
                  <c:x val="-4.9055555555555658E-2"/>
                  <c:y val="4.322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F9-4D80-9091-3DF1105F0EA8}"/>
                </c:ext>
              </c:extLst>
            </c:dLbl>
            <c:dLbl>
              <c:idx val="10"/>
              <c:layout>
                <c:manualLayout>
                  <c:x val="-5.1833333333333433E-2"/>
                  <c:y val="5.2488334791484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F9-4D80-9091-3DF1105F0EA8}"/>
                </c:ext>
              </c:extLst>
            </c:dLbl>
            <c:numFmt formatCode="0.0,,\ &quot;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Analysis!$L$2:$L$14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Analysis!$M$2:$M$14</c:f>
              <c:numCache>
                <c:formatCode>0</c:formatCode>
                <c:ptCount val="12"/>
                <c:pt idx="0">
                  <c:v>56389721.849999972</c:v>
                </c:pt>
                <c:pt idx="1">
                  <c:v>53989811.249999925</c:v>
                </c:pt>
                <c:pt idx="2">
                  <c:v>57034968.380000025</c:v>
                </c:pt>
                <c:pt idx="3">
                  <c:v>55950217.82</c:v>
                </c:pt>
                <c:pt idx="4">
                  <c:v>59707095.840000041</c:v>
                </c:pt>
                <c:pt idx="5">
                  <c:v>57938328.900000103</c:v>
                </c:pt>
                <c:pt idx="6">
                  <c:v>56842656.020000018</c:v>
                </c:pt>
                <c:pt idx="7">
                  <c:v>58658021.460000008</c:v>
                </c:pt>
                <c:pt idx="8">
                  <c:v>53063337.109999932</c:v>
                </c:pt>
                <c:pt idx="9">
                  <c:v>60909319.119999997</c:v>
                </c:pt>
                <c:pt idx="10">
                  <c:v>57097469.510000028</c:v>
                </c:pt>
                <c:pt idx="11">
                  <c:v>58208922.659999989</c:v>
                </c:pt>
              </c:numCache>
            </c:numRef>
          </c:val>
          <c:smooth val="0"/>
          <c:extLst>
            <c:ext xmlns:c16="http://schemas.microsoft.com/office/drawing/2014/chart" uri="{C3380CC4-5D6E-409C-BE32-E72D297353CC}">
              <c16:uniqueId val="{00000006-F7F9-4D80-9091-3DF1105F0EA8}"/>
            </c:ext>
          </c:extLst>
        </c:ser>
        <c:dLbls>
          <c:dLblPos val="t"/>
          <c:showLegendKey val="0"/>
          <c:showVal val="1"/>
          <c:showCatName val="0"/>
          <c:showSerName val="0"/>
          <c:showPercent val="0"/>
          <c:showBubbleSize val="0"/>
        </c:dLbls>
        <c:marker val="1"/>
        <c:smooth val="0"/>
        <c:axId val="287066136"/>
        <c:axId val="287068296"/>
      </c:lineChart>
      <c:catAx>
        <c:axId val="287066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87068296"/>
        <c:crosses val="autoZero"/>
        <c:auto val="1"/>
        <c:lblAlgn val="ctr"/>
        <c:lblOffset val="100"/>
        <c:noMultiLvlLbl val="0"/>
      </c:catAx>
      <c:valAx>
        <c:axId val="287068296"/>
        <c:scaling>
          <c:orientation val="minMax"/>
        </c:scaling>
        <c:delete val="1"/>
        <c:axPos val="l"/>
        <c:numFmt formatCode="0" sourceLinked="1"/>
        <c:majorTickMark val="out"/>
        <c:minorTickMark val="none"/>
        <c:tickLblPos val="nextTo"/>
        <c:crossAx val="287066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571500</xdr:colOff>
      <xdr:row>0</xdr:row>
      <xdr:rowOff>95250</xdr:rowOff>
    </xdr:from>
    <xdr:to>
      <xdr:col>5</xdr:col>
      <xdr:colOff>546100</xdr:colOff>
      <xdr:row>5</xdr:row>
      <xdr:rowOff>101600</xdr:rowOff>
    </xdr:to>
    <xdr:sp macro="" textlink="">
      <xdr:nvSpPr>
        <xdr:cNvPr id="2" name="Rectangle 1">
          <a:extLst>
            <a:ext uri="{FF2B5EF4-FFF2-40B4-BE49-F238E27FC236}">
              <a16:creationId xmlns:a16="http://schemas.microsoft.com/office/drawing/2014/main" id="{C3520931-A35E-50C7-DE0A-2556DE77966D}"/>
            </a:ext>
          </a:extLst>
        </xdr:cNvPr>
        <xdr:cNvSpPr/>
      </xdr:nvSpPr>
      <xdr:spPr>
        <a:xfrm>
          <a:off x="2400300" y="95250"/>
          <a:ext cx="1193800" cy="9271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baseline="0">
              <a:solidFill>
                <a:schemeClr val="bg1"/>
              </a:solidFill>
            </a:rPr>
            <a:t> $685,789,870 </a:t>
          </a:r>
        </a:p>
        <a:p>
          <a:pPr algn="ctr"/>
          <a:r>
            <a:rPr lang="en-US" sz="600" baseline="0">
              <a:solidFill>
                <a:schemeClr val="bg1"/>
              </a:solidFill>
            </a:rPr>
            <a:t>Total Revenue</a:t>
          </a:r>
          <a:endParaRPr lang="en-US" sz="700" baseline="0">
            <a:solidFill>
              <a:schemeClr val="bg1"/>
            </a:solidFill>
          </a:endParaRPr>
        </a:p>
      </xdr:txBody>
    </xdr:sp>
    <xdr:clientData/>
  </xdr:twoCellAnchor>
  <xdr:twoCellAnchor>
    <xdr:from>
      <xdr:col>6</xdr:col>
      <xdr:colOff>527050</xdr:colOff>
      <xdr:row>0</xdr:row>
      <xdr:rowOff>95250</xdr:rowOff>
    </xdr:from>
    <xdr:to>
      <xdr:col>8</xdr:col>
      <xdr:colOff>501650</xdr:colOff>
      <xdr:row>5</xdr:row>
      <xdr:rowOff>101600</xdr:rowOff>
    </xdr:to>
    <xdr:sp macro="" textlink="Analysis!B2">
      <xdr:nvSpPr>
        <xdr:cNvPr id="3" name="Rectangle 2">
          <a:extLst>
            <a:ext uri="{FF2B5EF4-FFF2-40B4-BE49-F238E27FC236}">
              <a16:creationId xmlns:a16="http://schemas.microsoft.com/office/drawing/2014/main" id="{9B462096-6B7E-52F2-3475-62E37FC851CB}"/>
            </a:ext>
          </a:extLst>
        </xdr:cNvPr>
        <xdr:cNvSpPr/>
      </xdr:nvSpPr>
      <xdr:spPr>
        <a:xfrm>
          <a:off x="4184650" y="95250"/>
          <a:ext cx="1193800" cy="9271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D6701B0B-D0AA-45C3-A1D8-CF1D411F3C80}" type="TxLink">
            <a:rPr lang="en-US" sz="1600" b="0" i="0" u="none" strike="noStrike" baseline="0">
              <a:solidFill>
                <a:schemeClr val="bg1"/>
              </a:solidFill>
              <a:latin typeface="Calibri"/>
              <a:ea typeface="Calibri"/>
              <a:cs typeface="Calibri"/>
            </a:rPr>
            <a:t>12000</a:t>
          </a:fld>
          <a:endParaRPr lang="en-US" sz="1400" b="0" i="0" u="none" strike="noStrike" baseline="0">
            <a:solidFill>
              <a:schemeClr val="bg1"/>
            </a:solidFill>
            <a:latin typeface="Calibri"/>
            <a:ea typeface="Calibri"/>
            <a:cs typeface="Calibri"/>
          </a:endParaRPr>
        </a:p>
        <a:p>
          <a:pPr algn="ctr"/>
          <a:r>
            <a:rPr lang="en-US" sz="700" b="0" i="0" u="none" strike="noStrike" baseline="0">
              <a:solidFill>
                <a:schemeClr val="bg1"/>
              </a:solidFill>
              <a:latin typeface="Calibri"/>
              <a:ea typeface="Calibri"/>
              <a:cs typeface="Calibri"/>
            </a:rPr>
            <a:t>Number of </a:t>
          </a:r>
          <a:r>
            <a:rPr lang="en-US" sz="600" b="0" i="0" u="none" strike="noStrike" baseline="0">
              <a:solidFill>
                <a:schemeClr val="bg1"/>
              </a:solidFill>
              <a:latin typeface="Calibri"/>
              <a:ea typeface="Calibri"/>
              <a:cs typeface="Calibri"/>
            </a:rPr>
            <a:t>Orders</a:t>
          </a:r>
          <a:endParaRPr lang="en-US" sz="1000" baseline="0">
            <a:solidFill>
              <a:schemeClr val="bg1"/>
            </a:solidFill>
          </a:endParaRPr>
        </a:p>
      </xdr:txBody>
    </xdr:sp>
    <xdr:clientData/>
  </xdr:twoCellAnchor>
  <xdr:twoCellAnchor>
    <xdr:from>
      <xdr:col>9</xdr:col>
      <xdr:colOff>571500</xdr:colOff>
      <xdr:row>0</xdr:row>
      <xdr:rowOff>95250</xdr:rowOff>
    </xdr:from>
    <xdr:to>
      <xdr:col>11</xdr:col>
      <xdr:colOff>546100</xdr:colOff>
      <xdr:row>5</xdr:row>
      <xdr:rowOff>101600</xdr:rowOff>
    </xdr:to>
    <xdr:sp macro="" textlink="Analysis!C2">
      <xdr:nvSpPr>
        <xdr:cNvPr id="4" name="Rectangle 3">
          <a:extLst>
            <a:ext uri="{FF2B5EF4-FFF2-40B4-BE49-F238E27FC236}">
              <a16:creationId xmlns:a16="http://schemas.microsoft.com/office/drawing/2014/main" id="{2D8747E0-09F2-C3E2-E30A-E9C34966F9A3}"/>
            </a:ext>
          </a:extLst>
        </xdr:cNvPr>
        <xdr:cNvSpPr/>
      </xdr:nvSpPr>
      <xdr:spPr>
        <a:xfrm>
          <a:off x="6057900" y="95250"/>
          <a:ext cx="1193800" cy="9271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4E657BA6-2C8F-4D32-9BAE-279E67124386}" type="TxLink">
            <a:rPr lang="en-US" sz="1400" b="0" i="0" u="none" strike="noStrike" baseline="0">
              <a:solidFill>
                <a:schemeClr val="bg1"/>
              </a:solidFill>
              <a:latin typeface="Calibri"/>
              <a:ea typeface="Calibri"/>
              <a:cs typeface="Calibri"/>
            </a:rPr>
            <a:t>610997</a:t>
          </a:fld>
          <a:endParaRPr lang="en-US" sz="1400" b="0" i="0" u="none" strike="noStrike" baseline="0">
            <a:solidFill>
              <a:schemeClr val="bg1"/>
            </a:solidFill>
            <a:latin typeface="Calibri"/>
            <a:ea typeface="Calibri"/>
            <a:cs typeface="Calibri"/>
          </a:endParaRPr>
        </a:p>
        <a:p>
          <a:pPr algn="ctr"/>
          <a:r>
            <a:rPr lang="en-US" sz="600" b="0" i="0" u="none" strike="noStrike" baseline="0">
              <a:solidFill>
                <a:schemeClr val="bg1"/>
              </a:solidFill>
              <a:latin typeface="Calibri"/>
              <a:ea typeface="Calibri"/>
              <a:cs typeface="Calibri"/>
            </a:rPr>
            <a:t>Total QTY</a:t>
          </a:r>
          <a:endParaRPr lang="en-US" sz="1000" baseline="0">
            <a:solidFill>
              <a:schemeClr val="bg1"/>
            </a:solidFill>
          </a:endParaRPr>
        </a:p>
      </xdr:txBody>
    </xdr:sp>
    <xdr:clientData/>
  </xdr:twoCellAnchor>
  <xdr:twoCellAnchor>
    <xdr:from>
      <xdr:col>12</xdr:col>
      <xdr:colOff>527050</xdr:colOff>
      <xdr:row>0</xdr:row>
      <xdr:rowOff>95250</xdr:rowOff>
    </xdr:from>
    <xdr:to>
      <xdr:col>14</xdr:col>
      <xdr:colOff>501650</xdr:colOff>
      <xdr:row>5</xdr:row>
      <xdr:rowOff>101600</xdr:rowOff>
    </xdr:to>
    <xdr:sp macro="" textlink="Analysis!D2">
      <xdr:nvSpPr>
        <xdr:cNvPr id="5" name="Rectangle 4">
          <a:extLst>
            <a:ext uri="{FF2B5EF4-FFF2-40B4-BE49-F238E27FC236}">
              <a16:creationId xmlns:a16="http://schemas.microsoft.com/office/drawing/2014/main" id="{B0C05497-D067-C5CA-BC2B-2168097241CC}"/>
            </a:ext>
          </a:extLst>
        </xdr:cNvPr>
        <xdr:cNvSpPr/>
      </xdr:nvSpPr>
      <xdr:spPr>
        <a:xfrm>
          <a:off x="7842250" y="95250"/>
          <a:ext cx="1193800" cy="92710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31F150C3-56F2-4276-8185-721C3F24CB4B}" type="TxLink">
            <a:rPr lang="en-US" sz="1400" b="0" i="0" u="none" strike="noStrike" baseline="0">
              <a:solidFill>
                <a:schemeClr val="bg1"/>
              </a:solidFill>
              <a:latin typeface="Calibri"/>
              <a:ea typeface="Calibri"/>
              <a:cs typeface="Calibri"/>
            </a:rPr>
            <a:t>11</a:t>
          </a:fld>
          <a:endParaRPr lang="en-US" sz="1400" b="0" i="0" u="none" strike="noStrike" baseline="0">
            <a:solidFill>
              <a:schemeClr val="bg1"/>
            </a:solidFill>
            <a:latin typeface="Calibri"/>
            <a:ea typeface="Calibri"/>
            <a:cs typeface="Calibri"/>
          </a:endParaRPr>
        </a:p>
        <a:p>
          <a:pPr algn="ctr"/>
          <a:r>
            <a:rPr lang="en-US" sz="700" b="0" i="0" u="none" strike="noStrike" baseline="0">
              <a:solidFill>
                <a:schemeClr val="bg1"/>
              </a:solidFill>
              <a:latin typeface="Calibri"/>
              <a:ea typeface="Calibri"/>
              <a:cs typeface="Calibri"/>
            </a:rPr>
            <a:t>Average LTD</a:t>
          </a:r>
          <a:endParaRPr lang="en-US" sz="900" baseline="0">
            <a:solidFill>
              <a:schemeClr val="bg1"/>
            </a:solidFill>
          </a:endParaRPr>
        </a:p>
      </xdr:txBody>
    </xdr:sp>
    <xdr:clientData/>
  </xdr:twoCellAnchor>
  <xdr:twoCellAnchor>
    <xdr:from>
      <xdr:col>0</xdr:col>
      <xdr:colOff>0</xdr:colOff>
      <xdr:row>5</xdr:row>
      <xdr:rowOff>139700</xdr:rowOff>
    </xdr:from>
    <xdr:to>
      <xdr:col>8</xdr:col>
      <xdr:colOff>431800</xdr:colOff>
      <xdr:row>25</xdr:row>
      <xdr:rowOff>0</xdr:rowOff>
    </xdr:to>
    <xdr:graphicFrame macro="">
      <xdr:nvGraphicFramePr>
        <xdr:cNvPr id="6" name="Chart 5">
          <a:extLst>
            <a:ext uri="{FF2B5EF4-FFF2-40B4-BE49-F238E27FC236}">
              <a16:creationId xmlns:a16="http://schemas.microsoft.com/office/drawing/2014/main" id="{1FB8C43D-9E84-4B7F-AA3F-70A5DE8F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5</xdr:row>
      <xdr:rowOff>139700</xdr:rowOff>
    </xdr:from>
    <xdr:to>
      <xdr:col>17</xdr:col>
      <xdr:colOff>44450</xdr:colOff>
      <xdr:row>25</xdr:row>
      <xdr:rowOff>6350</xdr:rowOff>
    </xdr:to>
    <xdr:graphicFrame macro="">
      <xdr:nvGraphicFramePr>
        <xdr:cNvPr id="7" name="Chart 6">
          <a:extLst>
            <a:ext uri="{FF2B5EF4-FFF2-40B4-BE49-F238E27FC236}">
              <a16:creationId xmlns:a16="http://schemas.microsoft.com/office/drawing/2014/main" id="{BF555AC2-7657-4E4B-B605-BD68E759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8</xdr:col>
      <xdr:colOff>450850</xdr:colOff>
      <xdr:row>40</xdr:row>
      <xdr:rowOff>165100</xdr:rowOff>
    </xdr:to>
    <xdr:graphicFrame macro="">
      <xdr:nvGraphicFramePr>
        <xdr:cNvPr id="8" name="Chart 7">
          <a:extLst>
            <a:ext uri="{FF2B5EF4-FFF2-40B4-BE49-F238E27FC236}">
              <a16:creationId xmlns:a16="http://schemas.microsoft.com/office/drawing/2014/main" id="{96685BE1-9440-48DC-AC92-F8216734B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26</xdr:row>
      <xdr:rowOff>0</xdr:rowOff>
    </xdr:from>
    <xdr:to>
      <xdr:col>17</xdr:col>
      <xdr:colOff>50800</xdr:colOff>
      <xdr:row>40</xdr:row>
      <xdr:rowOff>165100</xdr:rowOff>
    </xdr:to>
    <xdr:graphicFrame macro="">
      <xdr:nvGraphicFramePr>
        <xdr:cNvPr id="9" name="Chart 8">
          <a:extLst>
            <a:ext uri="{FF2B5EF4-FFF2-40B4-BE49-F238E27FC236}">
              <a16:creationId xmlns:a16="http://schemas.microsoft.com/office/drawing/2014/main" id="{DA39B74F-2079-43A6-BE23-82DC6AD88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126999</xdr:colOff>
      <xdr:row>12</xdr:row>
      <xdr:rowOff>135466</xdr:rowOff>
    </xdr:from>
    <xdr:to>
      <xdr:col>25</xdr:col>
      <xdr:colOff>328084</xdr:colOff>
      <xdr:row>26</xdr:row>
      <xdr:rowOff>81491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21BF998-8F5C-1080-A2BE-C462BEAE3A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90499" y="2312609"/>
              <a:ext cx="2632228"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179917</xdr:colOff>
      <xdr:row>27</xdr:row>
      <xdr:rowOff>175683</xdr:rowOff>
    </xdr:from>
    <xdr:to>
      <xdr:col>23</xdr:col>
      <xdr:colOff>179917</xdr:colOff>
      <xdr:row>41</xdr:row>
      <xdr:rowOff>125942</xdr:rowOff>
    </xdr:to>
    <mc:AlternateContent xmlns:mc="http://schemas.openxmlformats.org/markup-compatibility/2006">
      <mc:Choice xmlns:a14="http://schemas.microsoft.com/office/drawing/2010/main" Requires="a14">
        <xdr:graphicFrame macro="">
          <xdr:nvGraphicFramePr>
            <xdr:cNvPr id="11" name="OrderStatus">
              <a:extLst>
                <a:ext uri="{FF2B5EF4-FFF2-40B4-BE49-F238E27FC236}">
                  <a16:creationId xmlns:a16="http://schemas.microsoft.com/office/drawing/2014/main" id="{07F5CDBF-7B06-EEB5-C659-BB25AEC3F3A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2335631" y="5074254"/>
              <a:ext cx="1823357" cy="249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605368</xdr:colOff>
      <xdr:row>27</xdr:row>
      <xdr:rowOff>152400</xdr:rowOff>
    </xdr:from>
    <xdr:to>
      <xdr:col>19</xdr:col>
      <xdr:colOff>605368</xdr:colOff>
      <xdr:row>41</xdr:row>
      <xdr:rowOff>102659</xdr:rowOff>
    </xdr:to>
    <mc:AlternateContent xmlns:mc="http://schemas.openxmlformats.org/markup-compatibility/2006">
      <mc:Choice xmlns:a14="http://schemas.microsoft.com/office/drawing/2010/main" Requires="a14">
        <xdr:graphicFrame macro="">
          <xdr:nvGraphicFramePr>
            <xdr:cNvPr id="12" name="OrderDate (Month)">
              <a:extLst>
                <a:ext uri="{FF2B5EF4-FFF2-40B4-BE49-F238E27FC236}">
                  <a16:creationId xmlns:a16="http://schemas.microsoft.com/office/drawing/2014/main" id="{369409CB-3706-9616-BE90-0340C0442379}"/>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10329939" y="5050971"/>
              <a:ext cx="1823358" cy="249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44450</xdr:colOff>
      <xdr:row>12</xdr:row>
      <xdr:rowOff>167217</xdr:rowOff>
    </xdr:from>
    <xdr:to>
      <xdr:col>20</xdr:col>
      <xdr:colOff>518583</xdr:colOff>
      <xdr:row>26</xdr:row>
      <xdr:rowOff>113243</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FA2842A-7BC2-75F1-E0FB-61CC02B414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76807" y="2344360"/>
              <a:ext cx="2297490" cy="2486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81381481481" backgroundQuery="1" createdVersion="8" refreshedVersion="8" minRefreshableVersion="3" recordCount="0" supportSubquery="1" supportAdvancedDrill="1" xr:uid="{82F24BB3-4704-452C-AA52-41954DD6063D}">
  <cacheSource type="external" connectionId="5"/>
  <cacheFields count="3">
    <cacheField name="[Dim_Suppliers].[Region].[Region]" caption="Region" numFmtId="0" hierarchy="8" level="1">
      <sharedItems count="14">
        <s v="Alabama"/>
        <s v="Colorado"/>
        <s v="Connecticut"/>
        <s v="Illinois"/>
        <s v="Kentucky"/>
        <s v="Michigan"/>
        <s v="Minnesota"/>
        <s v="Mississippi"/>
        <s v="Nevada"/>
        <s v="New Jersey"/>
        <s v="Oklahoma"/>
        <s v="Rhode Island"/>
        <s v="West Virginia"/>
        <s v="Wisconsin"/>
      </sharedItems>
    </cacheField>
    <cacheField name="[Measures].[Total Revenue]" caption="Total Revenue" numFmtId="0" hierarchy="28" level="32767"/>
    <cacheField name="[Dim_Products].[Category].[Category]" caption="Category" numFmtId="0" hierarchy="2" level="1">
      <sharedItems containsSemiMixedTypes="0" containsNonDate="0" containsString="0"/>
    </cacheField>
  </cacheFields>
  <cacheHierarchies count="39">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tandardCost]" caption="StandardCost" attribute="1" defaultMemberUniqueName="[Dim_Products].[StandardCost].[All]" allUniqueName="[Dim_Products].[StandardCost].[All]" dimensionUniqueName="[Dim_Products]" displayFolder="" count="0" memberValueDatatype="5" unbalanced="0"/>
    <cacheHierarchy uniqueName="[Dim_Products].[Unit]" caption="Unit" attribute="1" defaultMemberUniqueName="[Dim_Products].[Unit].[All]" allUniqueName="[Dim_Products].[Unit].[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2" memberValueDatatype="130" unbalanced="0">
      <fieldsUsage count="2">
        <fieldUsage x="-1"/>
        <fieldUsage x="0"/>
      </fieldsUsage>
    </cacheHierarchy>
    <cacheHierarchy uniqueName="[Dim_Suppliers].[LeadTimeDaysMean]" caption="LeadTimeDaysMean" attribute="1" defaultMemberUniqueName="[Dim_Suppliers].[LeadTimeDaysMean].[All]" allUniqueName="[Dim_Suppliers].[LeadTimeDaysMean].[All]" dimensionUniqueName="[Dim_Suppliers]" displayFolder="" count="0" memberValueDatatype="20" unbalanced="0"/>
    <cacheHierarchy uniqueName="[Dim_Warehouses].[WarehouseID]" caption="WarehouseID" attribute="1" defaultMemberUniqueName="[Dim_Warehouses].[WarehouseID].[All]" allUniqueName="[Dim_Warehouses].[WarehouseID].[All]" dimensionUniqueName="[Dim_Warehouses]" displayFolder="" count="0" memberValueDatatype="2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Location]" caption="Location" attribute="1" defaultMemberUniqueName="[Dim_Warehouses].[Location].[All]" allUniqueName="[Dim_Warehouses].[Location].[All]" dimensionUniqueName="[Dim_Warehouses]" displayFolder="" count="0" memberValueDatatype="130" unbalanced="0"/>
    <cacheHierarchy uniqueName="[Dim_Warehouses].[CapacityUnits]" caption="CapacityUnits" attribute="1" defaultMemberUniqueName="[Dim_Warehouses].[CapacityUnits].[All]" allUniqueName="[Dim_Warehouses].[CapacityUnits].[All]" dimensionUniqueName="[Dim_Warehouse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eliveryDate]" caption="DeliveryDate" attribute="1" time="1" defaultMemberUniqueName="[Fact_Orders].[DeliveryDate].[All]" allUniqueName="[Fact_Orders].[DeliveryDate].[All]" dimensionUniqueName="[Fact_Orders]" displayFolder="" count="0" memberValueDatatype="7"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upplierID]" caption="SupplierID" attribute="1" defaultMemberUniqueName="[Fact_Orders].[SupplierID].[All]" allUniqueName="[Fact_Orders].[SupplierID].[All]" dimensionUniqueName="[Fact_Orders]" displayFolder="" count="0" memberValueDatatype="20" unbalanced="0"/>
    <cacheHierarchy uniqueName="[Fact_Orders].[WarehouseID]" caption="WarehouseID" attribute="1" defaultMemberUniqueName="[Fact_Orders].[WarehouseID].[All]" allUniqueName="[Fact_Orders].[WarehouseID].[All]" dimensionUniqueName="[Fact_Orders]" displayFolder="" count="0" memberValueDatatype="2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Fact_Orders].[Region]" caption="Region" attribute="1" defaultMemberUniqueName="[Fact_Orders].[Region].[All]" allUniqueName="[Fact_Orders].[Region].[All]" dimensionUniqueName="[Fact_Orders]" displayFolder="" count="0" memberValueDatatype="130" unbalanced="0"/>
    <cacheHierarchy uniqueName="[Fact_Orders].[LTD]" caption="LTD" attribute="1" defaultMemberUniqueName="[Fact_Orders].[LTD].[All]" allUniqueName="[Fact_Orders].[LTD].[All]" dimensionUniqueName="[Fact_Orders]" displayFolder="" count="0" memberValueDatatype="2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Total Revenue]" caption="Total Revenue" measure="1" displayFolder="" measureGroup="Fact_Orders" count="0" oneField="1">
      <fieldsUsage count="1">
        <fieldUsage x="1"/>
      </fieldsUsage>
    </cacheHierarchy>
    <cacheHierarchy uniqueName="[Measures].[Number of Orders]" caption="Number of Orders" measure="1" displayFolder="" measureGroup="Fact_Orders" count="0"/>
    <cacheHierarchy uniqueName="[Measures].[Average LTD]" caption="Average LTD" measure="1" displayFolder="" measureGroup="Fact_Orders" count="0"/>
    <cacheHierarchy uniqueName="[Measures].[Total QTY]" caption="Total QTY" measure="1" displayFolder="" measureGroup="Fact_Orders" count="0"/>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4"/>
        </ext>
      </extLst>
    </cacheHierarchy>
  </cacheHierarchies>
  <kpis count="0"/>
  <dimensions count="5">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4">
    <measureGroup name="Dim_Products" caption="Dim_Products"/>
    <measureGroup name="Dim_Suppliers" caption="Dim_Suppliers"/>
    <measureGroup name="Dim_Warehouses" caption="Dim_Warehouse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81499999999" backgroundQuery="1" createdVersion="8" refreshedVersion="8" minRefreshableVersion="3" recordCount="0" supportSubquery="1" supportAdvancedDrill="1" xr:uid="{C1476C54-E791-44F9-81C8-D972196041C3}">
  <cacheSource type="external" connectionId="5"/>
  <cacheFields count="3">
    <cacheField name="[Fact_Orders].[OrderStatus].[OrderStatus]" caption="OrderStatus" numFmtId="0" hierarchy="21" level="1">
      <sharedItems count="4">
        <s v="Cancelled"/>
        <s v="Delivered"/>
        <s v="Pending"/>
        <s v="Shipped"/>
      </sharedItems>
    </cacheField>
    <cacheField name="[Measures].[Count of OrderID]" caption="Count of OrderID" numFmtId="0" hierarchy="38" level="32767"/>
    <cacheField name="[Fact_Orders].[Region].[Region]" caption="Region" numFmtId="0" hierarchy="22" level="1">
      <sharedItems containsSemiMixedTypes="0" containsNonDate="0" containsString="0"/>
    </cacheField>
  </cacheFields>
  <cacheHierarchies count="39">
    <cacheHierarchy uniqueName="[Dim_Products].[ProductID]" caption="ProductID" attribute="1" defaultMemberUniqueName="[Dim_Products].[ProductID].[All]" allUniqueName="[Dim_Products].[ProductID].[All]" dimensionUniqueName="[Dim_Products]" displayFolder="" count="2"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tandardCost]" caption="StandardCost" attribute="1" defaultMemberUniqueName="[Dim_Products].[StandardCost].[All]" allUniqueName="[Dim_Products].[StandardCost].[All]" dimensionUniqueName="[Dim_Products]" displayFolder="" count="2" memberValueDatatype="5" unbalanced="0"/>
    <cacheHierarchy uniqueName="[Dim_Products].[Unit]" caption="Unit" attribute="1" defaultMemberUniqueName="[Dim_Products].[Unit].[All]" allUniqueName="[Dim_Products].[Unit].[All]" dimensionUniqueName="[Dim_Products]" displayFolder="" count="2" memberValueDatatype="130" unbalanced="0"/>
    <cacheHierarchy uniqueName="[Dim_Suppliers].[SupplierID]" caption="SupplierID" attribute="1" defaultMemberUniqueName="[Dim_Suppliers].[SupplierID].[All]" allUniqueName="[Dim_Suppliers].[SupplierID].[All]" dimensionUniqueName="[Dim_Suppliers]" displayFolder="" count="2" memberValueDatatype="20" unbalanced="0"/>
    <cacheHierarchy uniqueName="[Dim_Suppliers].[SupplierName]" caption="SupplierName" attribute="1" defaultMemberUniqueName="[Dim_Suppliers].[SupplierName].[All]" allUniqueName="[Dim_Suppliers].[SupplierName].[All]" dimensionUniqueName="[Dim_Suppliers]" displayFolder="" count="2" memberValueDatatype="130" unbalanced="0"/>
    <cacheHierarchy uniqueName="[Dim_Suppliers].[Country]" caption="Country" attribute="1" defaultMemberUniqueName="[Dim_Suppliers].[Country].[All]" allUniqueName="[Dim_Suppliers].[Country].[All]" dimensionUniqueName="[Dim_Suppliers]" displayFolder="" count="2" memberValueDatatype="130" unbalanced="0"/>
    <cacheHierarchy uniqueName="[Dim_Suppliers].[Region]" caption="Region" attribute="1" defaultMemberUniqueName="[Dim_Suppliers].[Region].[All]" allUniqueName="[Dim_Suppliers].[Region].[All]" dimensionUniqueName="[Dim_Suppliers]" displayFolder="" count="2" memberValueDatatype="130" unbalanced="0"/>
    <cacheHierarchy uniqueName="[Dim_Suppliers].[LeadTimeDaysMean]" caption="LeadTimeDaysMean" attribute="1" defaultMemberUniqueName="[Dim_Suppliers].[LeadTimeDaysMean].[All]" allUniqueName="[Dim_Suppliers].[LeadTimeDaysMean].[All]" dimensionUniqueName="[Dim_Suppliers]" displayFolder="" count="2" memberValueDatatype="20" unbalanced="0"/>
    <cacheHierarchy uniqueName="[Dim_Warehouses].[WarehouseID]" caption="WarehouseID" attribute="1" defaultMemberUniqueName="[Dim_Warehouses].[WarehouseID].[All]" allUniqueName="[Dim_Warehouses].[WarehouseID].[All]" dimensionUniqueName="[Dim_Warehouses]" displayFolder="" count="2" memberValueDatatype="20" unbalanced="0"/>
    <cacheHierarchy uniqueName="[Dim_Warehouses].[WarehouseName]" caption="WarehouseName" attribute="1" defaultMemberUniqueName="[Dim_Warehouses].[WarehouseName].[All]" allUniqueName="[Dim_Warehouses].[WarehouseName].[All]" dimensionUniqueName="[Dim_Warehouses]" displayFolder="" count="2" memberValueDatatype="130" unbalanced="0"/>
    <cacheHierarchy uniqueName="[Dim_Warehouses].[Location]" caption="Location" attribute="1" defaultMemberUniqueName="[Dim_Warehouses].[Location].[All]" allUniqueName="[Dim_Warehouses].[Location].[All]" dimensionUniqueName="[Dim_Warehouses]" displayFolder="" count="2" memberValueDatatype="130" unbalanced="0"/>
    <cacheHierarchy uniqueName="[Dim_Warehouses].[CapacityUnits]" caption="CapacityUnits" attribute="1" defaultMemberUniqueName="[Dim_Warehouses].[CapacityUnits].[All]" allUniqueName="[Dim_Warehouses].[CapacityUnits].[All]" dimensionUniqueName="[Dim_Warehouses]" displayFolder="" count="2" memberValueDatatype="20" unbalanced="0"/>
    <cacheHierarchy uniqueName="[Fact_Orders].[OrderID]" caption="OrderID" attribute="1" defaultMemberUniqueName="[Fact_Orders].[OrderID].[All]" allUniqueName="[Fact_Orders].[OrderID].[All]" dimensionUniqueName="[Fact_Orders]" displayFolder="" count="2"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eliveryDate]" caption="DeliveryDate" attribute="1" time="1" defaultMemberUniqueName="[Fact_Orders].[DeliveryDate].[All]" allUniqueName="[Fact_Orders].[DeliveryDate].[All]" dimensionUniqueName="[Fact_Orders]" displayFolder="" count="2" memberValueDatatype="7" unbalanced="0"/>
    <cacheHierarchy uniqueName="[Fact_Orders].[ProductID]" caption="ProductID" attribute="1" defaultMemberUniqueName="[Fact_Orders].[ProductID].[All]" allUniqueName="[Fact_Orders].[ProductID].[All]" dimensionUniqueName="[Fact_Orders]" displayFolder="" count="2" memberValueDatatype="20" unbalanced="0"/>
    <cacheHierarchy uniqueName="[Fact_Orders].[SupplierID]" caption="SupplierID" attribute="1" defaultMemberUniqueName="[Fact_Orders].[SupplierID].[All]" allUniqueName="[Fact_Orders].[SupplierID].[All]" dimensionUniqueName="[Fact_Orders]" displayFolder="" count="2" memberValueDatatype="20" unbalanced="0"/>
    <cacheHierarchy uniqueName="[Fact_Orders].[WarehouseID]" caption="WarehouseID" attribute="1" defaultMemberUniqueName="[Fact_Orders].[WarehouseID].[All]" allUniqueName="[Fact_Orders].[WarehouseID].[All]" dimensionUniqueName="[Fact_Orders]" displayFolder="" count="2" memberValueDatatype="2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fieldsUsage count="2">
        <fieldUsage x="-1"/>
        <fieldUsage x="0"/>
      </fieldsUsage>
    </cacheHierarchy>
    <cacheHierarchy uniqueName="[Fact_Orders].[Region]" caption="Region" attribute="1" defaultMemberUniqueName="[Fact_Orders].[Region].[All]" allUniqueName="[Fact_Orders].[Region].[All]" dimensionUniqueName="[Fact_Orders]" displayFolder="" count="2" memberValueDatatype="130" unbalanced="0">
      <fieldsUsage count="2">
        <fieldUsage x="-1"/>
        <fieldUsage x="2"/>
      </fieldsUsage>
    </cacheHierarchy>
    <cacheHierarchy uniqueName="[Fact_Orders].[LTD]" caption="LTD" attribute="1" defaultMemberUniqueName="[Fact_Orders].[LTD].[All]" allUniqueName="[Fact_Orders].[LTD].[All]" dimensionUniqueName="[Fact_Orders]" displayFolder="" count="2" memberValueDatatype="20" unbalanced="0"/>
    <cacheHierarchy uniqueName="[Fact_Orders].[OrderDate (Year)]" caption="OrderDate (Year)" attribute="1" defaultMemberUniqueName="[Fact_Orders].[OrderDate (Year)].[All]" allUniqueName="[Fact_Orders].[OrderDate (Year)].[All]" dimensionUniqueName="[Fact_Orders]" displayFolder="" count="2" memberValueDatatype="130" unbalanced="0"/>
    <cacheHierarchy uniqueName="[Fact_Orders].[OrderDate (Quarter)]" caption="OrderDate (Quarter)" attribute="1" defaultMemberUniqueName="[Fact_Orders].[OrderDate (Quarter)].[All]" allUniqueName="[Fact_Orders].[OrderDate (Quarter)].[All]" dimensionUniqueName="[Fact_Orders]" displayFolder="" count="2"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2" memberValueDatatype="20" unbalanced="0" hidden="1"/>
    <cacheHierarchy uniqueName="[Measures].[Total Revenue]" caption="Total Revenue" measure="1" displayFolder="" measureGroup="Fact_Orders" count="0"/>
    <cacheHierarchy uniqueName="[Measures].[Number of Orders]" caption="Number of Orders" measure="1" displayFolder="" measureGroup="Fact_Orders" count="0"/>
    <cacheHierarchy uniqueName="[Measures].[Average LTD]" caption="Average LTD" measure="1" displayFolder="" measureGroup="Fact_Orders" count="0"/>
    <cacheHierarchy uniqueName="[Measures].[Total QTY]" caption="Total QTY" measure="1" displayFolder="" measureGroup="Fact_Orders" count="0"/>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4">
    <measureGroup name="Dim_Products" caption="Dim_Products"/>
    <measureGroup name="Dim_Suppliers" caption="Dim_Suppliers"/>
    <measureGroup name="Dim_Warehouses" caption="Dim_Warehouse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81500462961" backgroundQuery="1" createdVersion="8" refreshedVersion="8" minRefreshableVersion="3" recordCount="0" supportSubquery="1" supportAdvancedDrill="1" xr:uid="{A4E26A0C-F9EE-4156-A64A-B2F679373DA1}">
  <cacheSource type="external" connectionId="5"/>
  <cacheFields count="5">
    <cacheField name="[Measures].[Total Revenue]" caption="Total Revenue" numFmtId="0" hierarchy="28" level="32767"/>
    <cacheField name="[Measures].[Number of Orders]" caption="Number of Orders" numFmtId="0" hierarchy="29" level="32767"/>
    <cacheField name="[Measures].[Average LTD]" caption="Average LTD" numFmtId="0" hierarchy="30" level="32767"/>
    <cacheField name="[Measures].[Total QTY]" caption="Total QTY" numFmtId="0" hierarchy="31" level="32767"/>
    <cacheField name="[Fact_Orders].[Region].[Region]" caption="Region" numFmtId="0" hierarchy="22" level="1">
      <sharedItems containsSemiMixedTypes="0" containsNonDate="0" containsString="0"/>
    </cacheField>
  </cacheFields>
  <cacheHierarchies count="39">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tandardCost]" caption="StandardCost" attribute="1" defaultMemberUniqueName="[Dim_Products].[StandardCost].[All]" allUniqueName="[Dim_Products].[StandardCost].[All]" dimensionUniqueName="[Dim_Products]" displayFolder="" count="0" memberValueDatatype="5" unbalanced="0"/>
    <cacheHierarchy uniqueName="[Dim_Products].[Unit]" caption="Unit" attribute="1" defaultMemberUniqueName="[Dim_Products].[Unit].[All]" allUniqueName="[Dim_Products].[Unit].[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LeadTimeDaysMean]" caption="LeadTimeDaysMean" attribute="1" defaultMemberUniqueName="[Dim_Suppliers].[LeadTimeDaysMean].[All]" allUniqueName="[Dim_Suppliers].[LeadTimeDaysMean].[All]" dimensionUniqueName="[Dim_Suppliers]" displayFolder="" count="0" memberValueDatatype="20" unbalanced="0"/>
    <cacheHierarchy uniqueName="[Dim_Warehouses].[WarehouseID]" caption="WarehouseID" attribute="1" defaultMemberUniqueName="[Dim_Warehouses].[WarehouseID].[All]" allUniqueName="[Dim_Warehouses].[WarehouseID].[All]" dimensionUniqueName="[Dim_Warehouses]" displayFolder="" count="0" memberValueDatatype="2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Location]" caption="Location" attribute="1" defaultMemberUniqueName="[Dim_Warehouses].[Location].[All]" allUniqueName="[Dim_Warehouses].[Location].[All]" dimensionUniqueName="[Dim_Warehouses]" displayFolder="" count="0" memberValueDatatype="130" unbalanced="0"/>
    <cacheHierarchy uniqueName="[Dim_Warehouses].[CapacityUnits]" caption="CapacityUnits" attribute="1" defaultMemberUniqueName="[Dim_Warehouses].[CapacityUnits].[All]" allUniqueName="[Dim_Warehouses].[CapacityUnits].[All]" dimensionUniqueName="[Dim_Warehouse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eliveryDate]" caption="DeliveryDate" attribute="1" time="1" defaultMemberUniqueName="[Fact_Orders].[DeliveryDate].[All]" allUniqueName="[Fact_Orders].[DeliveryDate].[All]" dimensionUniqueName="[Fact_Orders]" displayFolder="" count="0" memberValueDatatype="7"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upplierID]" caption="SupplierID" attribute="1" defaultMemberUniqueName="[Fact_Orders].[SupplierID].[All]" allUniqueName="[Fact_Orders].[SupplierID].[All]" dimensionUniqueName="[Fact_Orders]" displayFolder="" count="0" memberValueDatatype="20" unbalanced="0"/>
    <cacheHierarchy uniqueName="[Fact_Orders].[WarehouseID]" caption="WarehouseID" attribute="1" defaultMemberUniqueName="[Fact_Orders].[WarehouseID].[All]" allUniqueName="[Fact_Orders].[WarehouseID].[All]" dimensionUniqueName="[Fact_Orders]" displayFolder="" count="0" memberValueDatatype="2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Fact_Orders].[Region]" caption="Region" attribute="1" defaultMemberUniqueName="[Fact_Orders].[Region].[All]" allUniqueName="[Fact_Orders].[Region].[All]" dimensionUniqueName="[Fact_Orders]" displayFolder="" count="2" memberValueDatatype="130" unbalanced="0">
      <fieldsUsage count="2">
        <fieldUsage x="-1"/>
        <fieldUsage x="4"/>
      </fieldsUsage>
    </cacheHierarchy>
    <cacheHierarchy uniqueName="[Fact_Orders].[LTD]" caption="LTD" attribute="1" defaultMemberUniqueName="[Fact_Orders].[LTD].[All]" allUniqueName="[Fact_Orders].[LTD].[All]" dimensionUniqueName="[Fact_Orders]" displayFolder="" count="0" memberValueDatatype="2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Total Revenue]" caption="Total Revenue" measure="1" displayFolder="" measureGroup="Fact_Orders" count="0" oneField="1">
      <fieldsUsage count="1">
        <fieldUsage x="0"/>
      </fieldsUsage>
    </cacheHierarchy>
    <cacheHierarchy uniqueName="[Measures].[Number of Orders]" caption="Number of Orders" measure="1" displayFolder="" measureGroup="Fact_Orders" count="0" oneField="1">
      <fieldsUsage count="1">
        <fieldUsage x="1"/>
      </fieldsUsage>
    </cacheHierarchy>
    <cacheHierarchy uniqueName="[Measures].[Average LTD]" caption="Average LTD" measure="1" displayFolder="" measureGroup="Fact_Orders" count="0" oneField="1">
      <fieldsUsage count="1">
        <fieldUsage x="2"/>
      </fieldsUsage>
    </cacheHierarchy>
    <cacheHierarchy uniqueName="[Measures].[Total QTY]" caption="Total QTY" measure="1" displayFolder="" measureGroup="Fact_Orders" count="0" oneField="1">
      <fieldsUsage count="1">
        <fieldUsage x="3"/>
      </fieldsUsage>
    </cacheHierarchy>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4"/>
        </ext>
      </extLst>
    </cacheHierarchy>
  </cacheHierarchies>
  <kpis count="0"/>
  <dimensions count="5">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4">
    <measureGroup name="Dim_Products" caption="Dim_Products"/>
    <measureGroup name="Dim_Suppliers" caption="Dim_Suppliers"/>
    <measureGroup name="Dim_Warehouses" caption="Dim_Warehouse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81500925923" backgroundQuery="1" createdVersion="8" refreshedVersion="8" minRefreshableVersion="3" recordCount="0" supportSubquery="1" supportAdvancedDrill="1" xr:uid="{B4E30790-FC2E-45CB-B5DC-54060E1276BE}">
  <cacheSource type="external" connectionId="5"/>
  <cacheFields count="3">
    <cacheField name="[Fact_Orders].[OrderDate (Month)].[OrderDate (Month)]" caption="OrderDate (Month)" numFmtId="0" hierarchy="26" level="1">
      <sharedItems count="12">
        <s v="Jan"/>
        <s v="Feb"/>
        <s v="Mar"/>
        <s v="Apr"/>
        <s v="May"/>
        <s v="Jun"/>
        <s v="Jul"/>
        <s v="Aug"/>
        <s v="Sep"/>
        <s v="Oct"/>
        <s v="Nov"/>
        <s v="Dec"/>
      </sharedItems>
    </cacheField>
    <cacheField name="[Measures].[Total Revenue]" caption="Total Revenue" numFmtId="0" hierarchy="28" level="32767"/>
    <cacheField name="[Fact_Orders].[Region].[Region]" caption="Region" numFmtId="0" hierarchy="22" level="1">
      <sharedItems containsSemiMixedTypes="0" containsNonDate="0" containsString="0"/>
    </cacheField>
  </cacheFields>
  <cacheHierarchies count="39">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tandardCost]" caption="StandardCost" attribute="1" defaultMemberUniqueName="[Dim_Products].[StandardCost].[All]" allUniqueName="[Dim_Products].[StandardCost].[All]" dimensionUniqueName="[Dim_Products]" displayFolder="" count="0" memberValueDatatype="5" unbalanced="0"/>
    <cacheHierarchy uniqueName="[Dim_Products].[Unit]" caption="Unit" attribute="1" defaultMemberUniqueName="[Dim_Products].[Unit].[All]" allUniqueName="[Dim_Products].[Unit].[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LeadTimeDaysMean]" caption="LeadTimeDaysMean" attribute="1" defaultMemberUniqueName="[Dim_Suppliers].[LeadTimeDaysMean].[All]" allUniqueName="[Dim_Suppliers].[LeadTimeDaysMean].[All]" dimensionUniqueName="[Dim_Suppliers]" displayFolder="" count="0" memberValueDatatype="20" unbalanced="0"/>
    <cacheHierarchy uniqueName="[Dim_Warehouses].[WarehouseID]" caption="WarehouseID" attribute="1" defaultMemberUniqueName="[Dim_Warehouses].[WarehouseID].[All]" allUniqueName="[Dim_Warehouses].[WarehouseID].[All]" dimensionUniqueName="[Dim_Warehouses]" displayFolder="" count="0" memberValueDatatype="2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Location]" caption="Location" attribute="1" defaultMemberUniqueName="[Dim_Warehouses].[Location].[All]" allUniqueName="[Dim_Warehouses].[Location].[All]" dimensionUniqueName="[Dim_Warehouses]" displayFolder="" count="0" memberValueDatatype="130" unbalanced="0"/>
    <cacheHierarchy uniqueName="[Dim_Warehouses].[CapacityUnits]" caption="CapacityUnits" attribute="1" defaultMemberUniqueName="[Dim_Warehouses].[CapacityUnits].[All]" allUniqueName="[Dim_Warehouses].[CapacityUnits].[All]" dimensionUniqueName="[Dim_Warehouse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eliveryDate]" caption="DeliveryDate" attribute="1" time="1" defaultMemberUniqueName="[Fact_Orders].[DeliveryDate].[All]" allUniqueName="[Fact_Orders].[DeliveryDate].[All]" dimensionUniqueName="[Fact_Orders]" displayFolder="" count="0" memberValueDatatype="7"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upplierID]" caption="SupplierID" attribute="1" defaultMemberUniqueName="[Fact_Orders].[SupplierID].[All]" allUniqueName="[Fact_Orders].[SupplierID].[All]" dimensionUniqueName="[Fact_Orders]" displayFolder="" count="0" memberValueDatatype="20" unbalanced="0"/>
    <cacheHierarchy uniqueName="[Fact_Orders].[WarehouseID]" caption="WarehouseID" attribute="1" defaultMemberUniqueName="[Fact_Orders].[WarehouseID].[All]" allUniqueName="[Fact_Orders].[WarehouseID].[All]" dimensionUniqueName="[Fact_Orders]" displayFolder="" count="0" memberValueDatatype="2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Fact_Orders].[Region]" caption="Region" attribute="1" defaultMemberUniqueName="[Fact_Orders].[Region].[All]" allUniqueName="[Fact_Orders].[Region].[All]" dimensionUniqueName="[Fact_Orders]" displayFolder="" count="2" memberValueDatatype="130" unbalanced="0">
      <fieldsUsage count="2">
        <fieldUsage x="-1"/>
        <fieldUsage x="2"/>
      </fieldsUsage>
    </cacheHierarchy>
    <cacheHierarchy uniqueName="[Fact_Orders].[LTD]" caption="LTD" attribute="1" defaultMemberUniqueName="[Fact_Orders].[LTD].[All]" allUniqueName="[Fact_Orders].[LTD].[All]" dimensionUniqueName="[Fact_Orders]" displayFolder="" count="0" memberValueDatatype="20" unbalanced="0"/>
    <cacheHierarchy uniqueName="[Fact_Orders].[OrderDate (Year)]" caption="OrderDate (Year)" attribute="1" defaultMemberUniqueName="[Fact_Orders].[OrderDate (Year)].[All]" allUniqueName="[Fact_Orders].[OrderDate (Year)].[All]" dimensionUniqueName="[Fact_Orders]" displayFolder="" count="2" memberValueDatatype="130" unbalanced="0"/>
    <cacheHierarchy uniqueName="[Fact_Orders].[OrderDate (Quarter)]" caption="OrderDate (Quarter)" attribute="1" defaultMemberUniqueName="[Fact_Orders].[OrderDate (Quarter)].[All]" allUniqueName="[Fact_Orders].[OrderDate (Quarter)].[All]" dimensionUniqueName="[Fact_Orders]" displayFolder="" count="2"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fieldsUsage count="2">
        <fieldUsage x="-1"/>
        <fieldUsage x="0"/>
      </fieldsUsage>
    </cacheHierarchy>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Total Revenue]" caption="Total Revenue" measure="1" displayFolder="" measureGroup="Fact_Orders" count="0" oneField="1">
      <fieldsUsage count="1">
        <fieldUsage x="1"/>
      </fieldsUsage>
    </cacheHierarchy>
    <cacheHierarchy uniqueName="[Measures].[Number of Orders]" caption="Number of Orders" measure="1" displayFolder="" measureGroup="Fact_Orders" count="0"/>
    <cacheHierarchy uniqueName="[Measures].[Average LTD]" caption="Average LTD" measure="1" displayFolder="" measureGroup="Fact_Orders" count="0"/>
    <cacheHierarchy uniqueName="[Measures].[Total QTY]" caption="Total QTY" measure="1" displayFolder="" measureGroup="Fact_Orders" count="0"/>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4"/>
        </ext>
      </extLst>
    </cacheHierarchy>
  </cacheHierarchies>
  <kpis count="0"/>
  <dimensions count="5">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4">
    <measureGroup name="Dim_Products" caption="Dim_Products"/>
    <measureGroup name="Dim_Suppliers" caption="Dim_Suppliers"/>
    <measureGroup name="Dim_Warehouses" caption="Dim_Warehouse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81501388892" backgroundQuery="1" createdVersion="8" refreshedVersion="8" minRefreshableVersion="3" recordCount="0" supportSubquery="1" supportAdvancedDrill="1" xr:uid="{D92E4CD3-7A77-4C66-8DAB-D6B7F52766A6}">
  <cacheSource type="external" connectionId="5"/>
  <cacheFields count="4">
    <cacheField name="[Dim_Products].[Category].[Category]" caption="Category" numFmtId="0" hierarchy="2" level="1">
      <sharedItems count="10">
        <s v="Automotive"/>
        <s v="Education"/>
        <s v="Electronics"/>
        <s v="Fashion"/>
        <s v="Furniture"/>
        <s v="Home Appliances"/>
        <s v="Kitchen"/>
        <s v="Office Supplies"/>
        <s v="Personal Care"/>
        <s v="Sports"/>
      </sharedItems>
    </cacheField>
    <cacheField name="[Measures].[Total QTY]" caption="Total QTY" numFmtId="0" hierarchy="31" level="32767"/>
    <cacheField name="[Dim_Products].[ProductName].[ProductName]" caption="ProductName" numFmtId="0" hierarchy="1" level="1">
      <sharedItems count="50">
        <s v="Brake Pads"/>
        <s v="Car Battery"/>
        <s v="Car Tires"/>
        <s v="Engine Oil"/>
        <s v="Helmet"/>
        <s v="Backpack"/>
        <s v="Book"/>
        <s v="Notebook"/>
        <s v="Pen"/>
        <s v="Headphones"/>
        <s v="Laptop"/>
        <s v="Smartphone"/>
        <s v="Tablet"/>
        <s v="TV"/>
        <s v="Handbag"/>
        <s v="Jacket"/>
        <s v="Jeans"/>
        <s v="Shoes"/>
        <s v="T-Shirt"/>
        <s v="Watch"/>
        <s v="Bed"/>
        <s v="Chair"/>
        <s v="Dining Table"/>
        <s v="Sofa"/>
        <s v="Wardrobe"/>
        <s v="Air Conditioner"/>
        <s v="Microwave"/>
        <s v="Refrigerator"/>
        <s v="Vacuum Cleaner"/>
        <s v="Washing Machine"/>
        <s v="Blender"/>
        <s v="Coffee Maker"/>
        <s v="Oven"/>
        <s v="Rice Cooker"/>
        <s v="Toaster"/>
        <s v="Desk"/>
        <s v="Office Chair"/>
        <s v="Printer"/>
        <s v="Projector"/>
        <s v="Whiteboard"/>
        <s v="Face Cream"/>
        <s v="Perfume"/>
        <s v="Shampoo"/>
        <s v="Soap"/>
        <s v="Toothpaste"/>
        <s v="Bicycle"/>
        <s v="Dumbbell Set"/>
        <s v="Football"/>
        <s v="Tennis Racket"/>
        <s v="Treadmill"/>
      </sharedItems>
    </cacheField>
    <cacheField name="[Fact_Orders].[Region].[Region]" caption="Region" numFmtId="0" hierarchy="22" level="1">
      <sharedItems containsSemiMixedTypes="0" containsNonDate="0" containsString="0"/>
    </cacheField>
  </cacheFields>
  <cacheHierarchies count="39">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2"/>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tandardCost]" caption="StandardCost" attribute="1" defaultMemberUniqueName="[Dim_Products].[StandardCost].[All]" allUniqueName="[Dim_Products].[StandardCost].[All]" dimensionUniqueName="[Dim_Products]" displayFolder="" count="0" memberValueDatatype="5" unbalanced="0"/>
    <cacheHierarchy uniqueName="[Dim_Products].[Unit]" caption="Unit" attribute="1" defaultMemberUniqueName="[Dim_Products].[Unit].[All]" allUniqueName="[Dim_Products].[Unit].[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LeadTimeDaysMean]" caption="LeadTimeDaysMean" attribute="1" defaultMemberUniqueName="[Dim_Suppliers].[LeadTimeDaysMean].[All]" allUniqueName="[Dim_Suppliers].[LeadTimeDaysMean].[All]" dimensionUniqueName="[Dim_Suppliers]" displayFolder="" count="0" memberValueDatatype="20" unbalanced="0"/>
    <cacheHierarchy uniqueName="[Dim_Warehouses].[WarehouseID]" caption="WarehouseID" attribute="1" defaultMemberUniqueName="[Dim_Warehouses].[WarehouseID].[All]" allUniqueName="[Dim_Warehouses].[WarehouseID].[All]" dimensionUniqueName="[Dim_Warehouses]" displayFolder="" count="0" memberValueDatatype="2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Location]" caption="Location" attribute="1" defaultMemberUniqueName="[Dim_Warehouses].[Location].[All]" allUniqueName="[Dim_Warehouses].[Location].[All]" dimensionUniqueName="[Dim_Warehouses]" displayFolder="" count="0" memberValueDatatype="130" unbalanced="0"/>
    <cacheHierarchy uniqueName="[Dim_Warehouses].[CapacityUnits]" caption="CapacityUnits" attribute="1" defaultMemberUniqueName="[Dim_Warehouses].[CapacityUnits].[All]" allUniqueName="[Dim_Warehouses].[CapacityUnits].[All]" dimensionUniqueName="[Dim_Warehouse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eliveryDate]" caption="DeliveryDate" attribute="1" time="1" defaultMemberUniqueName="[Fact_Orders].[DeliveryDate].[All]" allUniqueName="[Fact_Orders].[DeliveryDate].[All]" dimensionUniqueName="[Fact_Orders]" displayFolder="" count="0" memberValueDatatype="7"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upplierID]" caption="SupplierID" attribute="1" defaultMemberUniqueName="[Fact_Orders].[SupplierID].[All]" allUniqueName="[Fact_Orders].[SupplierID].[All]" dimensionUniqueName="[Fact_Orders]" displayFolder="" count="0" memberValueDatatype="20" unbalanced="0"/>
    <cacheHierarchy uniqueName="[Fact_Orders].[WarehouseID]" caption="WarehouseID" attribute="1" defaultMemberUniqueName="[Fact_Orders].[WarehouseID].[All]" allUniqueName="[Fact_Orders].[WarehouseID].[All]" dimensionUniqueName="[Fact_Orders]" displayFolder="" count="0" memberValueDatatype="2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Fact_Orders].[Region]" caption="Region" attribute="1" defaultMemberUniqueName="[Fact_Orders].[Region].[All]" allUniqueName="[Fact_Orders].[Region].[All]" dimensionUniqueName="[Fact_Orders]" displayFolder="" count="2" memberValueDatatype="130" unbalanced="0">
      <fieldsUsage count="2">
        <fieldUsage x="-1"/>
        <fieldUsage x="3"/>
      </fieldsUsage>
    </cacheHierarchy>
    <cacheHierarchy uniqueName="[Fact_Orders].[LTD]" caption="LTD" attribute="1" defaultMemberUniqueName="[Fact_Orders].[LTD].[All]" allUniqueName="[Fact_Orders].[LTD].[All]" dimensionUniqueName="[Fact_Orders]" displayFolder="" count="0" memberValueDatatype="2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Total Revenue]" caption="Total Revenue" measure="1" displayFolder="" measureGroup="Fact_Orders" count="0"/>
    <cacheHierarchy uniqueName="[Measures].[Number of Orders]" caption="Number of Orders" measure="1" displayFolder="" measureGroup="Fact_Orders" count="0"/>
    <cacheHierarchy uniqueName="[Measures].[Average LTD]" caption="Average LTD" measure="1" displayFolder="" measureGroup="Fact_Orders" count="0"/>
    <cacheHierarchy uniqueName="[Measures].[Total QTY]" caption="Total QTY" measure="1" displayFolder="" measureGroup="Fact_Orders" count="0" oneField="1">
      <fieldsUsage count="1">
        <fieldUsage x="1"/>
      </fieldsUsage>
    </cacheHierarchy>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4"/>
        </ext>
      </extLst>
    </cacheHierarchy>
  </cacheHierarchies>
  <kpis count="0"/>
  <dimensions count="5">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4">
    <measureGroup name="Dim_Products" caption="Dim_Products"/>
    <measureGroup name="Dim_Suppliers" caption="Dim_Suppliers"/>
    <measureGroup name="Dim_Warehouses" caption="Dim_Warehouse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faster" refreshedDate="46223.652966435184" backgroundQuery="1" createdVersion="3" refreshedVersion="8" minRefreshableVersion="3" recordCount="0" supportSubquery="1" supportAdvancedDrill="1" xr:uid="{678F9040-E326-4E8B-A0AC-8F76AF42BD79}">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tandardCost]" caption="StandardCost" attribute="1" defaultMemberUniqueName="[Dim_Products].[StandardCost].[All]" allUniqueName="[Dim_Products].[StandardCost].[All]" dimensionUniqueName="[Dim_Products]" displayFolder="" count="0" memberValueDatatype="5" unbalanced="0"/>
    <cacheHierarchy uniqueName="[Dim_Products].[Unit]" caption="Unit" attribute="1" defaultMemberUniqueName="[Dim_Products].[Unit].[All]" allUniqueName="[Dim_Products].[Unit].[All]" dimensionUniqueName="[Dim_Product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SupplierName]" caption="SupplierName" attribute="1" defaultMemberUniqueName="[Dim_Suppliers].[SupplierName].[All]" allUniqueName="[Dim_Suppliers].[SupplierNam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LeadTimeDaysMean]" caption="LeadTimeDaysMean" attribute="1" defaultMemberUniqueName="[Dim_Suppliers].[LeadTimeDaysMean].[All]" allUniqueName="[Dim_Suppliers].[LeadTimeDaysMean].[All]" dimensionUniqueName="[Dim_Suppliers]" displayFolder="" count="0" memberValueDatatype="20" unbalanced="0"/>
    <cacheHierarchy uniqueName="[Dim_Warehouses].[WarehouseID]" caption="WarehouseID" attribute="1" defaultMemberUniqueName="[Dim_Warehouses].[WarehouseID].[All]" allUniqueName="[Dim_Warehouses].[WarehouseID].[All]" dimensionUniqueName="[Dim_Warehouses]" displayFolder="" count="0" memberValueDatatype="20" unbalanced="0"/>
    <cacheHierarchy uniqueName="[Dim_Warehouses].[WarehouseName]" caption="WarehouseName" attribute="1" defaultMemberUniqueName="[Dim_Warehouses].[WarehouseName].[All]" allUniqueName="[Dim_Warehouses].[WarehouseName].[All]" dimensionUniqueName="[Dim_Warehouses]" displayFolder="" count="0" memberValueDatatype="130" unbalanced="0"/>
    <cacheHierarchy uniqueName="[Dim_Warehouses].[Location]" caption="Location" attribute="1" defaultMemberUniqueName="[Dim_Warehouses].[Location].[All]" allUniqueName="[Dim_Warehouses].[Location].[All]" dimensionUniqueName="[Dim_Warehouses]" displayFolder="" count="0" memberValueDatatype="130" unbalanced="0"/>
    <cacheHierarchy uniqueName="[Dim_Warehouses].[CapacityUnits]" caption="CapacityUnits" attribute="1" defaultMemberUniqueName="[Dim_Warehouses].[CapacityUnits].[All]" allUniqueName="[Dim_Warehouses].[CapacityUnits].[All]" dimensionUniqueName="[Dim_Warehouses]" displayFolder="" count="0" memberValueDatatype="20" unbalanced="0"/>
    <cacheHierarchy uniqueName="[Fact_Orders].[OrderID]" caption="OrderID" attribute="1" defaultMemberUniqueName="[Fact_Orders].[OrderID].[All]" allUniqueName="[Fact_Order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eliveryDate]" caption="DeliveryDate" attribute="1" time="1" defaultMemberUniqueName="[Fact_Orders].[DeliveryDate].[All]" allUniqueName="[Fact_Orders].[DeliveryDate].[All]" dimensionUniqueName="[Fact_Orders]" displayFolder="" count="0" memberValueDatatype="7"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upplierID]" caption="SupplierID" attribute="1" defaultMemberUniqueName="[Fact_Orders].[SupplierID].[All]" allUniqueName="[Fact_Orders].[SupplierID].[All]" dimensionUniqueName="[Fact_Orders]" displayFolder="" count="0" memberValueDatatype="20" unbalanced="0"/>
    <cacheHierarchy uniqueName="[Fact_Orders].[WarehouseID]" caption="WarehouseID" attribute="1" defaultMemberUniqueName="[Fact_Orders].[WarehouseID].[All]" allUniqueName="[Fact_Orders].[WarehouseID].[All]" dimensionUniqueName="[Fact_Orders]" displayFolder="" count="0" memberValueDatatype="2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OrderStatus]" caption="OrderStatus" attribute="1" defaultMemberUniqueName="[Fact_Orders].[OrderStatus].[All]" allUniqueName="[Fact_Orders].[OrderStatus].[All]" dimensionUniqueName="[Fact_Orders]" displayFolder="" count="2" memberValueDatatype="130" unbalanced="0"/>
    <cacheHierarchy uniqueName="[Fact_Orders].[Region]" caption="Region" attribute="1" defaultMemberUniqueName="[Fact_Orders].[Region].[All]" allUniqueName="[Fact_Orders].[Region].[All]" dimensionUniqueName="[Fact_Orders]" displayFolder="" count="2" memberValueDatatype="130" unbalanced="0"/>
    <cacheHierarchy uniqueName="[Fact_Orders].[LTD]" caption="LTD" attribute="1" defaultMemberUniqueName="[Fact_Orders].[LTD].[All]" allUniqueName="[Fact_Orders].[LTD].[All]" dimensionUniqueName="[Fact_Orders]" displayFolder="" count="0" memberValueDatatype="2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Total Revenue]" caption="Total Revenue" measure="1" displayFolder="" measureGroup="Fact_Orders" count="0"/>
    <cacheHierarchy uniqueName="[Measures].[Number of Orders]" caption="Number of Orders" measure="1" displayFolder="" measureGroup="Fact_Orders" count="0"/>
    <cacheHierarchy uniqueName="[Measures].[Average LTD]" caption="Average LTD" measure="1" displayFolder="" measureGroup="Fact_Orders" count="0"/>
    <cacheHierarchy uniqueName="[Measures].[Total QTY]" caption="Total QTY" measure="1" displayFolder="" measureGroup="Fact_Orders" count="0"/>
    <cacheHierarchy uniqueName="[Measures].[__XL_Count Dim_Products]" caption="__XL_Count Dim_Products" measure="1" displayFolder="" measureGroup="Dim_Products" count="0" hidden="1"/>
    <cacheHierarchy uniqueName="[Measures].[__XL_Count Dim_Suppliers]" caption="__XL_Count Dim_Suppliers" measure="1" displayFolder="" measureGroup="Dim_Suppliers" count="0" hidden="1"/>
    <cacheHierarchy uniqueName="[Measures].[__XL_Count Dim_Warehouses]" caption="__XL_Count Dim_Warehouses" measure="1" displayFolder="" measureGroup="Dim_Warehouse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OrderID]" caption="Sum of OrderID" measure="1" displayFolder="" measureGroup="Fact_Orders" count="0" hidden="1">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Fact_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5157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9CA72-84DA-42A1-B4F5-56F454B6E7F5}" name="Monthly Revenue" cacheId="891" applyNumberFormats="0" applyBorderFormats="0" applyFontFormats="0" applyPatternFormats="0" applyAlignmentFormats="0" applyWidthHeightFormats="1" dataCaption="Values" tag="e070cf43-0f07-4616-9378-c36a9aacf7ae" updatedVersion="8" minRefreshableVersion="3" useAutoFormatting="1" itemPrintTitles="1" createdVersion="8" indent="0" outline="1" outlineData="1" multipleFieldFilters="0" chartFormat="3" rowHeaderCaption="Month">
  <location ref="L1:M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4">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0" count="1" selected="0">
            <x v="1"/>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5"/>
          </reference>
        </references>
      </pivotArea>
    </chartFormat>
    <chartFormat chart="1" format="12">
      <pivotArea type="data" outline="0" fieldPosition="0">
        <references count="2">
          <reference field="4294967294" count="1" selected="0">
            <x v="0"/>
          </reference>
          <reference field="0" count="1" selected="0">
            <x v="6"/>
          </reference>
        </references>
      </pivotArea>
    </chartFormat>
    <chartFormat chart="1" format="13">
      <pivotArea type="data" outline="0" fieldPosition="0">
        <references count="2">
          <reference field="4294967294" count="1" selected="0">
            <x v="0"/>
          </reference>
          <reference field="0" count="1" selected="0">
            <x v="8"/>
          </reference>
        </references>
      </pivotArea>
    </chartFormat>
    <chartFormat chart="1" format="14">
      <pivotArea type="data" outline="0" fieldPosition="0">
        <references count="2">
          <reference field="4294967294" count="1" selected="0">
            <x v="0"/>
          </reference>
          <reference field="0" count="1" selected="0">
            <x v="10"/>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3"/>
          </reference>
        </references>
      </pivotArea>
    </chartFormat>
    <chartFormat chart="2" format="18">
      <pivotArea type="data" outline="0" fieldPosition="0">
        <references count="2">
          <reference field="4294967294" count="1" selected="0">
            <x v="0"/>
          </reference>
          <reference field="0" count="1" selected="0">
            <x v="5"/>
          </reference>
        </references>
      </pivotArea>
    </chartFormat>
    <chartFormat chart="2" format="19">
      <pivotArea type="data" outline="0" fieldPosition="0">
        <references count="2">
          <reference field="4294967294" count="1" selected="0">
            <x v="0"/>
          </reference>
          <reference field="0" count="1" selected="0">
            <x v="6"/>
          </reference>
        </references>
      </pivotArea>
    </chartFormat>
    <chartFormat chart="2" format="20">
      <pivotArea type="data" outline="0" fieldPosition="0">
        <references count="2">
          <reference field="4294967294" count="1" selected="0">
            <x v="0"/>
          </reference>
          <reference field="0" count="1" selected="0">
            <x v="8"/>
          </reference>
        </references>
      </pivotArea>
    </chartFormat>
    <chartFormat chart="2" format="21">
      <pivotArea type="data" outline="0" fieldPosition="0">
        <references count="2">
          <reference field="4294967294" count="1" selected="0">
            <x v="0"/>
          </reference>
          <reference field="0" count="1" selected="0">
            <x v="1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BB621-4042-4269-92CB-674ABBD9952D}" name="Total QTY by Category" cacheId="894" applyNumberFormats="0" applyBorderFormats="0" applyFontFormats="0" applyPatternFormats="0" applyAlignmentFormats="0" applyWidthHeightFormats="1" dataCaption="Values" tag="eb80b219-a00a-4f42-8696-e7dd77ec16da" updatedVersion="8" minRefreshableVersion="3" useAutoFormatting="1" itemPrintTitles="1" createdVersion="8" indent="0" outline="1" outlineData="1" multipleFieldFilters="0" chartFormat="5" rowHeaderCaption="Category">
  <location ref="I8:J19" firstHeaderRow="1" firstDataRow="1" firstDataCol="1"/>
  <pivotFields count="4">
    <pivotField axis="axisRow" allDrilled="1" subtotalTop="0" showAll="0" sortType="descending" dataSourceSort="1"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s>
  <rowFields count="2">
    <field x="0"/>
    <field x="2"/>
  </rowFields>
  <rowItems count="11">
    <i>
      <x v="3"/>
    </i>
    <i>
      <x v="5"/>
    </i>
    <i>
      <x v="7"/>
    </i>
    <i>
      <x v="6"/>
    </i>
    <i>
      <x v="9"/>
    </i>
    <i>
      <x v="4"/>
    </i>
    <i>
      <x v="8"/>
    </i>
    <i>
      <x v="2"/>
    </i>
    <i>
      <x/>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7A9AD-7D1C-45BE-AACF-F2775647EB34}" name="Orders by Status" cacheId="885" applyNumberFormats="0" applyBorderFormats="0" applyFontFormats="0" applyPatternFormats="0" applyAlignmentFormats="0" applyWidthHeightFormats="1" dataCaption="Values" tag="a089ff48-bf2a-4237-8a60-e2a55735ef68" updatedVersion="8" minRefreshableVersion="3" useAutoFormatting="1" itemPrintTitles="1" createdVersion="8" indent="0" outline="1" outlineData="1" multipleFieldFilters="0" chartFormat="5" rowHeaderCaption="Order Status">
  <location ref="I1:J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ID"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E8C6E8-EFE2-4F17-B625-75D274E32D0A}" name="Total Revenue by Region" cacheId="831" applyNumberFormats="0" applyBorderFormats="0" applyFontFormats="0" applyPatternFormats="0" applyAlignmentFormats="0" applyWidthHeightFormats="1" dataCaption="Values" tag="a9e6eba8-b003-44bc-a461-c7a80f82fdac" updatedVersion="8" minRefreshableVersion="3" useAutoFormatting="1" itemPrintTitles="1" createdVersion="8" indent="0" outline="1" outlineData="1" multipleFieldFilters="0" chartFormat="8" rowHeaderCaption="Region">
  <location ref="F1:G16" firstHeaderRow="1" firstDataRow="1" firstDataCol="1"/>
  <pivotFields count="3">
    <pivotField axis="axisRow" allDrilled="1" subtotalTop="0" showAll="0" sortType="descending" dataSourceSort="1"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4"/>
    </i>
    <i>
      <x v="12"/>
    </i>
    <i>
      <x v="3"/>
    </i>
    <i>
      <x v="2"/>
    </i>
    <i>
      <x v="1"/>
    </i>
    <i>
      <x v="9"/>
    </i>
    <i>
      <x/>
    </i>
    <i>
      <x v="8"/>
    </i>
    <i>
      <x v="7"/>
    </i>
    <i>
      <x v="10"/>
    </i>
    <i>
      <x v="11"/>
    </i>
    <i>
      <x v="6"/>
    </i>
    <i>
      <x v="13"/>
    </i>
    <i>
      <x v="5"/>
    </i>
    <i t="grand">
      <x/>
    </i>
  </rowItems>
  <colItems count="1">
    <i/>
  </colItems>
  <dataFields count="1">
    <dataField fld="1" subtotal="count" baseField="0" baseItem="0"/>
  </dataField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4"/>
          </reference>
        </references>
      </pivotArea>
    </chartFormat>
    <chartFormat chart="7" format="14">
      <pivotArea type="data" outline="0" fieldPosition="0">
        <references count="2">
          <reference field="4294967294" count="1" selected="0">
            <x v="0"/>
          </reference>
          <reference field="0" count="1" selected="0">
            <x v="12"/>
          </reference>
        </references>
      </pivotArea>
    </chartFormat>
    <chartFormat chart="7" format="15">
      <pivotArea type="data" outline="0" fieldPosition="0">
        <references count="2">
          <reference field="4294967294" count="1" selected="0">
            <x v="0"/>
          </reference>
          <reference field="0" count="1" selected="0">
            <x v="3"/>
          </reference>
        </references>
      </pivotArea>
    </chartFormat>
    <chartFormat chart="7" format="16">
      <pivotArea type="data" outline="0" fieldPosition="0">
        <references count="2">
          <reference field="4294967294" count="1" selected="0">
            <x v="0"/>
          </reference>
          <reference field="0" count="1" selected="0">
            <x v="2"/>
          </reference>
        </references>
      </pivotArea>
    </chartFormat>
    <chartFormat chart="7" format="17">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upplier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3C9AC-E0D4-4C3E-BFCB-9F159B33412F}" name="KPI's" cacheId="888" applyNumberFormats="0" applyBorderFormats="0" applyFontFormats="0" applyPatternFormats="0" applyAlignmentFormats="0" applyWidthHeightFormats="1" dataCaption="Values" tag="9b4e6941-31bb-4da8-b21b-35e74e7ab765" updatedVersion="8" minRefreshableVersion="3" useAutoFormatting="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7"/>
    <dataField fld="1" subtotal="count" baseField="0" baseItem="0"/>
    <dataField fld="3" subtotal="count" baseField="0" baseItem="0"/>
    <dataField fld="2" subtotal="count" baseField="0" baseItem="0"/>
  </dataFields>
  <formats count="1">
    <format dxfId="53">
      <pivotArea outline="0" collapsedLevelsAreSubtotals="1" fieldPosition="0">
        <references count="1">
          <reference field="4294967294" count="1" selected="0">
            <x v="0"/>
          </reference>
        </references>
      </pivotArea>
    </format>
  </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35729D-9140-4EF9-B64F-1B121CAA10B9}" sourceName="[Fact_Orders].[Region]">
  <pivotTables>
    <pivotTable tabId="1" name="Orders by Status"/>
    <pivotTable tabId="1" name="KPI's"/>
    <pivotTable tabId="1" name="Monthly Revenue"/>
    <pivotTable tabId="1" name="Total QTY by Category"/>
  </pivotTables>
  <data>
    <olap pivotCacheId="125157152">
      <levels count="2">
        <level uniqueName="[Fact_Orders].[Region].[(All)]" sourceCaption="(All)" count="0"/>
        <level uniqueName="[Fact_Orders].[Region].[Region]" sourceCaption="Region" count="50">
          <ranges>
            <range startItem="0">
              <i n="[Fact_Orders].[Region].&amp;[Alabama]" c="Alabama"/>
              <i n="[Fact_Orders].[Region].&amp;[Alaska]" c="Alaska"/>
              <i n="[Fact_Orders].[Region].&amp;[Arizona]" c="Arizona"/>
              <i n="[Fact_Orders].[Region].&amp;[Arkansas]" c="Arkansas"/>
              <i n="[Fact_Orders].[Region].&amp;[California]" c="California"/>
              <i n="[Fact_Orders].[Region].&amp;[Colorado]" c="Colorado"/>
              <i n="[Fact_Orders].[Region].&amp;[Connecticut]" c="Connecticut"/>
              <i n="[Fact_Orders].[Region].&amp;[Delaware]" c="Delaware"/>
              <i n="[Fact_Orders].[Region].&amp;[Florida]" c="Florida"/>
              <i n="[Fact_Orders].[Region].&amp;[Georgia]" c="Georgia"/>
              <i n="[Fact_Orders].[Region].&amp;[Hawaii]" c="Hawaii"/>
              <i n="[Fact_Orders].[Region].&amp;[Idaho]" c="Idaho"/>
              <i n="[Fact_Orders].[Region].&amp;[Illinois]" c="Illinois"/>
              <i n="[Fact_Orders].[Region].&amp;[Indiana]" c="Indiana"/>
              <i n="[Fact_Orders].[Region].&amp;[Iowa]" c="Iowa"/>
              <i n="[Fact_Orders].[Region].&amp;[Kansas]" c="Kansas"/>
              <i n="[Fact_Orders].[Region].&amp;[Kentucky]" c="Kentucky"/>
              <i n="[Fact_Orders].[Region].&amp;[Louisiana]" c="Louisiana"/>
              <i n="[Fact_Orders].[Region].&amp;[Maine]" c="Maine"/>
              <i n="[Fact_Orders].[Region].&amp;[Maryland]" c="Maryland"/>
              <i n="[Fact_Orders].[Region].&amp;[Massachusetts]" c="Massachusetts"/>
              <i n="[Fact_Orders].[Region].&amp;[Michigan]" c="Michigan"/>
              <i n="[Fact_Orders].[Region].&amp;[Minnesota]" c="Minnesota"/>
              <i n="[Fact_Orders].[Region].&amp;[Mississippi]" c="Mississippi"/>
              <i n="[Fact_Orders].[Region].&amp;[Missouri]" c="Missouri"/>
              <i n="[Fact_Orders].[Region].&amp;[Montana]" c="Montana"/>
              <i n="[Fact_Orders].[Region].&amp;[Nebraska]" c="Nebraska"/>
              <i n="[Fact_Orders].[Region].&amp;[Nevada]" c="Nevada"/>
              <i n="[Fact_Orders].[Region].&amp;[New Hampshire]" c="New Hampshire"/>
              <i n="[Fact_Orders].[Region].&amp;[New Jersey]" c="New Jersey"/>
              <i n="[Fact_Orders].[Region].&amp;[New Mexico]" c="New Mexico"/>
              <i n="[Fact_Orders].[Region].&amp;[New York]" c="New York"/>
              <i n="[Fact_Orders].[Region].&amp;[North Carolina]" c="North Carolina"/>
              <i n="[Fact_Orders].[Region].&amp;[North Dakota]" c="North Dakota"/>
              <i n="[Fact_Orders].[Region].&amp;[Ohio]" c="Ohio"/>
              <i n="[Fact_Orders].[Region].&amp;[Oklahoma]" c="Oklahoma"/>
              <i n="[Fact_Orders].[Region].&amp;[Oregon]" c="Oregon"/>
              <i n="[Fact_Orders].[Region].&amp;[Pennsylvania]" c="Pennsylvania"/>
              <i n="[Fact_Orders].[Region].&amp;[Rhode Island]" c="Rhode Island"/>
              <i n="[Fact_Orders].[Region].&amp;[South Carolina]" c="South Carolina"/>
              <i n="[Fact_Orders].[Region].&amp;[South Dakota]" c="South Dakota"/>
              <i n="[Fact_Orders].[Region].&amp;[Tennessee]" c="Tennessee"/>
              <i n="[Fact_Orders].[Region].&amp;[Texas]" c="Texas"/>
              <i n="[Fact_Orders].[Region].&amp;[Utah]" c="Utah"/>
              <i n="[Fact_Orders].[Region].&amp;[Vermont]" c="Vermont"/>
              <i n="[Fact_Orders].[Region].&amp;[Virginia]" c="Virginia"/>
              <i n="[Fact_Orders].[Region].&amp;[Washington]" c="Washington"/>
              <i n="[Fact_Orders].[Region].&amp;[West Virginia]" c="West Virginia"/>
              <i n="[Fact_Orders].[Region].&amp;[Wisconsin]" c="Wisconsin"/>
              <i n="[Fact_Orders].[Region].&amp;[Wyoming]" c="Wyoming"/>
            </range>
          </ranges>
        </level>
      </levels>
      <selections count="1">
        <selection n="[Fact_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0E133D71-C422-4FBC-B936-BBD6A01F012D}" sourceName="[Fact_Orders].[OrderStatus]">
  <pivotTables>
    <pivotTable tabId="1" name="KPI's"/>
    <pivotTable tabId="1" name="Monthly Revenue"/>
    <pivotTable tabId="1" name="Total Revenue by Region"/>
    <pivotTable tabId="1" name="Total QTY by Category"/>
  </pivotTables>
  <data>
    <olap pivotCacheId="125157152">
      <levels count="2">
        <level uniqueName="[Fact_Orders].[OrderStatus].[(All)]" sourceCaption="(All)" count="0"/>
        <level uniqueName="[Fact_Orders].[OrderStatus].[OrderStatus]" sourceCaption="OrderStatus" count="4">
          <ranges>
            <range startItem="0">
              <i n="[Fact_Orders].[OrderStatus].&amp;[Cancelled]" c="Cancelled"/>
              <i n="[Fact_Orders].[OrderStatus].&amp;[Delivered]" c="Delivered"/>
              <i n="[Fact_Orders].[OrderStatus].&amp;[Pending]" c="Pending"/>
              <i n="[Fact_Orders].[OrderStatus].&amp;[Shipped]" c="Shipped"/>
            </range>
          </ranges>
        </level>
      </levels>
      <selections count="1">
        <selection n="[Fact_Orders].[Order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C19C2ABC-A85A-4C73-965D-79FE3F8D3F0C}" sourceName="[Fact_Orders].[OrderDate (Month)]">
  <pivotTables>
    <pivotTable tabId="1" name="Orders by Status"/>
    <pivotTable tabId="1" name="KPI's"/>
    <pivotTable tabId="1" name="Total Revenue by Region"/>
    <pivotTable tabId="1" name="Total QTY by Category"/>
  </pivotTables>
  <data>
    <olap pivotCacheId="125157152">
      <levels count="2">
        <level uniqueName="[Fact_Orders].[OrderDate (Month)].[(All)]" sourceCaption="(All)" count="0"/>
        <level uniqueName="[Fact_Orders].[OrderDate (Month)].[OrderDate (Month)]" sourceCaption="OrderDate (Month)" count="12">
          <ranges>
            <range startItem="0">
              <i n="[Fact_Orders].[OrderDate (Month)].&amp;[Jan]" c="Jan"/>
              <i n="[Fact_Orders].[OrderDate (Month)].&amp;[Feb]" c="Feb"/>
              <i n="[Fact_Orders].[OrderDate (Month)].&amp;[Mar]" c="Mar"/>
              <i n="[Fact_Orders].[OrderDate (Month)].&amp;[Apr]" c="Apr"/>
              <i n="[Fact_Orders].[OrderDate (Month)].&amp;[May]" c="May"/>
              <i n="[Fact_Orders].[OrderDate (Month)].&amp;[Jun]" c="Jun"/>
              <i n="[Fact_Orders].[OrderDate (Month)].&amp;[Jul]" c="Jul"/>
              <i n="[Fact_Orders].[OrderDate (Month)].&amp;[Aug]" c="Aug"/>
              <i n="[Fact_Orders].[OrderDate (Month)].&amp;[Sep]" c="Sep"/>
              <i n="[Fact_Orders].[OrderDate (Month)].&amp;[Oct]" c="Oct"/>
              <i n="[Fact_Orders].[OrderDate (Month)].&amp;[Nov]" c="Nov"/>
              <i n="[Fact_Orders].[OrderDate (Month)].&amp;[Dec]" c="Dec"/>
            </range>
          </ranges>
        </level>
      </levels>
      <selections count="1">
        <selection n="[Fact_Orders].[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10365A-88D0-4B91-8B69-4727A58A176C}" sourceName="[Dim_Products].[Category]">
  <pivotTables>
    <pivotTable tabId="1" name="Orders by Status"/>
    <pivotTable tabId="1" name="KPI's"/>
    <pivotTable tabId="1" name="Total Revenue by Region"/>
    <pivotTable tabId="1" name="Monthly Revenue"/>
  </pivotTables>
  <data>
    <olap pivotCacheId="125157152">
      <levels count="2">
        <level uniqueName="[Dim_Products].[Category].[(All)]" sourceCaption="(All)" count="0"/>
        <level uniqueName="[Dim_Products].[Category].[Category]" sourceCaption="Category" count="10">
          <ranges>
            <range startItem="0">
              <i n="[Dim_Products].[Category].&amp;[Automotive]" c="Automotive"/>
              <i n="[Dim_Products].[Category].&amp;[Education]" c="Education"/>
              <i n="[Dim_Products].[Category].&amp;[Electronics]" c="Electronics"/>
              <i n="[Dim_Products].[Category].&amp;[Fashion]" c="Fashion"/>
              <i n="[Dim_Products].[Category].&amp;[Furniture]" c="Furniture"/>
              <i n="[Dim_Products].[Category].&amp;[Home Appliances]" c="Home Appliances"/>
              <i n="[Dim_Products].[Category].&amp;[Kitchen]" c="Kitchen"/>
              <i n="[Dim_Products].[Category].&amp;[Office Supplies]" c="Office Supplies"/>
              <i n="[Dim_Products].[Category].&amp;[Personal Care]" c="Personal Care"/>
              <i n="[Dim_Products].[Category].&amp;[Sports]" c="Sports"/>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65108B-26AE-456A-B8BC-F32B25F4C4C1}" cache="Slicer_Region" caption="Region" startItem="36" columnCount="2" level="1" rowHeight="241300"/>
  <slicer name="OrderStatus" xr10:uid="{E8500134-5645-4638-9119-AAA4C514BD5E}" cache="Slicer_OrderStatus" caption="OrderStatus" level="1" style="SlicerStyleLight2" rowHeight="241300"/>
  <slicer name="OrderDate (Month)" xr10:uid="{A042497F-7C87-45EE-B2B1-88D6B2924783}" cache="Slicer_OrderDate__Month" caption="OrderDate (Month)" columnCount="2" level="1" style="SlicerStyleLight6" rowHeight="241300"/>
  <slicer name="Category" xr10:uid="{1133E671-0B8B-4A03-A054-32CD6E222F42}" cache="Slicer_Category" caption="Category" columnCount="2" level="1"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workbookViewId="0">
      <selection activeCell="F1" sqref="F1"/>
    </sheetView>
  </sheetViews>
  <sheetFormatPr defaultRowHeight="14.5" x14ac:dyDescent="0.35"/>
  <cols>
    <col min="1" max="1" width="13.08984375" bestFit="1" customWidth="1"/>
    <col min="2" max="2" width="16.08984375" bestFit="1" customWidth="1"/>
    <col min="3" max="3" width="8.90625" bestFit="1" customWidth="1"/>
    <col min="4" max="4" width="11.08984375" bestFit="1" customWidth="1"/>
    <col min="6" max="6" width="11.7265625" bestFit="1" customWidth="1"/>
    <col min="7" max="7" width="12.7265625" bestFit="1" customWidth="1"/>
    <col min="9" max="9" width="17.1796875" bestFit="1" customWidth="1"/>
    <col min="10" max="10" width="8.90625" bestFit="1" customWidth="1"/>
    <col min="12" max="12" width="10.7265625" bestFit="1" customWidth="1"/>
    <col min="13" max="13" width="12.7265625" bestFit="1" customWidth="1"/>
  </cols>
  <sheetData>
    <row r="1" spans="1:13" x14ac:dyDescent="0.35">
      <c r="A1" t="s">
        <v>0</v>
      </c>
      <c r="B1" t="s">
        <v>1</v>
      </c>
      <c r="C1" t="s">
        <v>3</v>
      </c>
      <c r="D1" t="s">
        <v>2</v>
      </c>
      <c r="F1" s="3" t="s">
        <v>20</v>
      </c>
      <c r="G1" t="s">
        <v>0</v>
      </c>
      <c r="I1" s="3" t="s">
        <v>25</v>
      </c>
      <c r="J1" t="s">
        <v>24</v>
      </c>
      <c r="L1" s="3" t="s">
        <v>49</v>
      </c>
      <c r="M1" t="s">
        <v>0</v>
      </c>
    </row>
    <row r="2" spans="1:13" x14ac:dyDescent="0.35">
      <c r="A2" s="5">
        <v>685789869.91999865</v>
      </c>
      <c r="B2" s="2">
        <v>12000</v>
      </c>
      <c r="C2" s="2">
        <v>610997</v>
      </c>
      <c r="D2" s="1">
        <v>10.52875</v>
      </c>
      <c r="F2" s="4" t="s">
        <v>8</v>
      </c>
      <c r="G2" s="1">
        <v>94450320.820000067</v>
      </c>
      <c r="I2" s="4" t="s">
        <v>19</v>
      </c>
      <c r="J2" s="2">
        <v>3068</v>
      </c>
      <c r="L2" s="4" t="s">
        <v>41</v>
      </c>
      <c r="M2" s="1">
        <v>56389721.849999972</v>
      </c>
    </row>
    <row r="3" spans="1:13" x14ac:dyDescent="0.35">
      <c r="F3" s="4" t="s">
        <v>16</v>
      </c>
      <c r="G3" s="1">
        <v>47717270.080000028</v>
      </c>
      <c r="I3" s="4" t="s">
        <v>21</v>
      </c>
      <c r="J3" s="2">
        <v>2967</v>
      </c>
      <c r="L3" s="4" t="s">
        <v>42</v>
      </c>
      <c r="M3" s="1">
        <v>53989811.249999925</v>
      </c>
    </row>
    <row r="4" spans="1:13" x14ac:dyDescent="0.35">
      <c r="F4" s="4" t="s">
        <v>7</v>
      </c>
      <c r="G4" s="1">
        <v>47507689.490000002</v>
      </c>
      <c r="I4" s="4" t="s">
        <v>22</v>
      </c>
      <c r="J4" s="2">
        <v>3009</v>
      </c>
      <c r="L4" s="4" t="s">
        <v>43</v>
      </c>
      <c r="M4" s="1">
        <v>57034968.380000025</v>
      </c>
    </row>
    <row r="5" spans="1:13" x14ac:dyDescent="0.35">
      <c r="F5" s="4" t="s">
        <v>6</v>
      </c>
      <c r="G5" s="1">
        <v>47097766.649999991</v>
      </c>
      <c r="I5" s="4" t="s">
        <v>23</v>
      </c>
      <c r="J5" s="2">
        <v>2956</v>
      </c>
      <c r="L5" s="4" t="s">
        <v>44</v>
      </c>
      <c r="M5" s="1">
        <v>55950217.82</v>
      </c>
    </row>
    <row r="6" spans="1:13" x14ac:dyDescent="0.35">
      <c r="F6" s="4" t="s">
        <v>5</v>
      </c>
      <c r="G6" s="1">
        <v>46734227.640000068</v>
      </c>
      <c r="I6" s="4" t="s">
        <v>18</v>
      </c>
      <c r="J6" s="2">
        <v>12000</v>
      </c>
      <c r="L6" s="4" t="s">
        <v>45</v>
      </c>
      <c r="M6" s="1">
        <v>59707095.840000041</v>
      </c>
    </row>
    <row r="7" spans="1:13" x14ac:dyDescent="0.35">
      <c r="F7" s="4" t="s">
        <v>13</v>
      </c>
      <c r="G7" s="1">
        <v>46319602.230000034</v>
      </c>
      <c r="L7" s="4" t="s">
        <v>46</v>
      </c>
      <c r="M7" s="1">
        <v>57938328.900000103</v>
      </c>
    </row>
    <row r="8" spans="1:13" x14ac:dyDescent="0.35">
      <c r="F8" s="4" t="s">
        <v>4</v>
      </c>
      <c r="G8" s="1">
        <v>45612837.640000038</v>
      </c>
      <c r="I8" s="3" t="s">
        <v>36</v>
      </c>
      <c r="J8" t="s">
        <v>3</v>
      </c>
      <c r="K8" s="6"/>
      <c r="L8" s="4" t="s">
        <v>47</v>
      </c>
      <c r="M8" s="1">
        <v>56842656.020000018</v>
      </c>
    </row>
    <row r="9" spans="1:13" x14ac:dyDescent="0.35">
      <c r="F9" s="4" t="s">
        <v>12</v>
      </c>
      <c r="G9" s="1">
        <v>45599415.659999952</v>
      </c>
      <c r="I9" s="4" t="s">
        <v>29</v>
      </c>
      <c r="J9" s="2">
        <v>76699</v>
      </c>
      <c r="L9" s="4" t="s">
        <v>48</v>
      </c>
      <c r="M9" s="1">
        <v>58658021.460000008</v>
      </c>
    </row>
    <row r="10" spans="1:13" x14ac:dyDescent="0.35">
      <c r="F10" s="4" t="s">
        <v>11</v>
      </c>
      <c r="G10" s="1">
        <v>45397183.769999988</v>
      </c>
      <c r="I10" s="4" t="s">
        <v>31</v>
      </c>
      <c r="J10" s="2">
        <v>62818</v>
      </c>
      <c r="L10" s="4" t="s">
        <v>37</v>
      </c>
      <c r="M10" s="1">
        <v>53063337.109999932</v>
      </c>
    </row>
    <row r="11" spans="1:13" x14ac:dyDescent="0.35">
      <c r="F11" s="4" t="s">
        <v>14</v>
      </c>
      <c r="G11" s="1">
        <v>44657371.459999986</v>
      </c>
      <c r="I11" s="4" t="s">
        <v>33</v>
      </c>
      <c r="J11" s="2">
        <v>62543</v>
      </c>
      <c r="L11" s="4" t="s">
        <v>38</v>
      </c>
      <c r="M11" s="1">
        <v>60909319.119999997</v>
      </c>
    </row>
    <row r="12" spans="1:13" x14ac:dyDescent="0.35">
      <c r="F12" s="4" t="s">
        <v>15</v>
      </c>
      <c r="G12" s="1">
        <v>43950097.630000018</v>
      </c>
      <c r="I12" s="4" t="s">
        <v>32</v>
      </c>
      <c r="J12" s="2">
        <v>61123</v>
      </c>
      <c r="L12" s="4" t="s">
        <v>39</v>
      </c>
      <c r="M12" s="1">
        <v>57097469.510000028</v>
      </c>
    </row>
    <row r="13" spans="1:13" x14ac:dyDescent="0.35">
      <c r="F13" s="4" t="s">
        <v>10</v>
      </c>
      <c r="G13" s="1">
        <v>43946197.669999972</v>
      </c>
      <c r="I13" s="4" t="s">
        <v>35</v>
      </c>
      <c r="J13" s="2">
        <v>60896</v>
      </c>
      <c r="L13" s="4" t="s">
        <v>40</v>
      </c>
      <c r="M13" s="1">
        <v>58208922.659999989</v>
      </c>
    </row>
    <row r="14" spans="1:13" x14ac:dyDescent="0.35">
      <c r="F14" s="4" t="s">
        <v>17</v>
      </c>
      <c r="G14" s="1">
        <v>43584954.630000003</v>
      </c>
      <c r="I14" s="4" t="s">
        <v>30</v>
      </c>
      <c r="J14" s="2">
        <v>59985</v>
      </c>
      <c r="L14" s="4" t="s">
        <v>18</v>
      </c>
      <c r="M14" s="1">
        <v>685789869.91999865</v>
      </c>
    </row>
    <row r="15" spans="1:13" x14ac:dyDescent="0.35">
      <c r="F15" s="4" t="s">
        <v>9</v>
      </c>
      <c r="G15" s="1">
        <v>43214934.550000012</v>
      </c>
      <c r="I15" s="4" t="s">
        <v>34</v>
      </c>
      <c r="J15" s="2">
        <v>59712</v>
      </c>
    </row>
    <row r="16" spans="1:13" x14ac:dyDescent="0.35">
      <c r="F16" s="4" t="s">
        <v>18</v>
      </c>
      <c r="G16" s="1">
        <v>685789869.91999865</v>
      </c>
      <c r="I16" s="4" t="s">
        <v>28</v>
      </c>
      <c r="J16" s="2">
        <v>59592</v>
      </c>
    </row>
    <row r="17" spans="9:10" x14ac:dyDescent="0.35">
      <c r="I17" s="4" t="s">
        <v>26</v>
      </c>
      <c r="J17" s="2">
        <v>57065</v>
      </c>
    </row>
    <row r="18" spans="9:10" x14ac:dyDescent="0.35">
      <c r="I18" s="4" t="s">
        <v>27</v>
      </c>
      <c r="J18" s="2">
        <v>50564</v>
      </c>
    </row>
    <row r="19" spans="9:10" x14ac:dyDescent="0.35">
      <c r="I19" s="4" t="s">
        <v>18</v>
      </c>
      <c r="J19" s="2">
        <v>610997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FE0A-E103-4328-9381-A5B1845E6F20}">
  <dimension ref="A1"/>
  <sheetViews>
    <sheetView showGridLines="0" showRowColHeaders="0" tabSelected="1" topLeftCell="A8" zoomScale="70" zoomScaleNormal="70" workbookViewId="0">
      <selection activeCell="Z32" sqref="Z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EB494B58-8088-4CC0-A330-168300EE1567}">
  <ds:schemaRefs>
    <ds:schemaRef ds:uri="http://schemas.microsoft.com/DataMashup"/>
  </ds:schemaRefs>
</ds:datastoreItem>
</file>

<file path=customXml/itemProps2.xml><?xml version="1.0" encoding="utf-8"?>
<ds:datastoreItem xmlns:ds="http://schemas.openxmlformats.org/officeDocument/2006/customXml" ds:itemID="{E6625673-6E92-48AA-BB55-1748BB51CB9F}">
  <ds:schemaRefs/>
</ds:datastoreItem>
</file>

<file path=customXml/itemProps3.xml><?xml version="1.0" encoding="utf-8"?>
<ds:datastoreItem xmlns:ds="http://schemas.openxmlformats.org/officeDocument/2006/customXml" ds:itemID="{0B58C033-38BC-444C-8655-2061259251DC}">
  <ds:schemaRefs/>
</ds:datastoreItem>
</file>

<file path=customXml/itemProps4.xml><?xml version="1.0" encoding="utf-8"?>
<ds:datastoreItem xmlns:ds="http://schemas.openxmlformats.org/officeDocument/2006/customXml" ds:itemID="{90A5410A-130A-4EE5-8EA9-9A4EBAD14BE7}">
  <ds:schemaRefs/>
</ds:datastoreItem>
</file>

<file path=customXml/itemProps5.xml><?xml version="1.0" encoding="utf-8"?>
<ds:datastoreItem xmlns:ds="http://schemas.openxmlformats.org/officeDocument/2006/customXml" ds:itemID="{82DC4B30-C03C-4F66-ACE1-9F8BD47EB42A}">
  <ds:schemaRefs/>
</ds:datastoreItem>
</file>

<file path=customXml/itemProps6.xml><?xml version="1.0" encoding="utf-8"?>
<ds:datastoreItem xmlns:ds="http://schemas.openxmlformats.org/officeDocument/2006/customXml" ds:itemID="{3701F01C-4C8D-449B-AC9D-2D1EA4C798A7}">
  <ds:schemaRefs/>
</ds:datastoreItem>
</file>

<file path=customXml/itemProps7.xml><?xml version="1.0" encoding="utf-8"?>
<ds:datastoreItem xmlns:ds="http://schemas.openxmlformats.org/officeDocument/2006/customXml" ds:itemID="{0ACD8175-32A8-44B6-968E-EE9E6E809AD9}">
  <ds:schemaRefs/>
</ds:datastoreItem>
</file>

<file path=customXml/itemProps8.xml><?xml version="1.0" encoding="utf-8"?>
<ds:datastoreItem xmlns:ds="http://schemas.openxmlformats.org/officeDocument/2006/customXml" ds:itemID="{46439108-7579-480F-A4BD-E43E209FB2EE}">
  <ds:schemaRefs/>
</ds:datastoreItem>
</file>

<file path=customXml/itemProps9.xml><?xml version="1.0" encoding="utf-8"?>
<ds:datastoreItem xmlns:ds="http://schemas.openxmlformats.org/officeDocument/2006/customXml" ds:itemID="{5C6A5775-B03C-421F-AA28-D27F35C1B997}">
  <ds:schemaRefs/>
</ds:datastoreItem>
</file>

<file path=customXml/itemProps10.xml><?xml version="1.0" encoding="utf-8"?>
<ds:datastoreItem xmlns:ds="http://schemas.openxmlformats.org/officeDocument/2006/customXml" ds:itemID="{15FEA36C-6463-4714-BAE1-962C953C0657}">
  <ds:schemaRefs/>
</ds:datastoreItem>
</file>

<file path=customXml/itemProps11.xml><?xml version="1.0" encoding="utf-8"?>
<ds:datastoreItem xmlns:ds="http://schemas.openxmlformats.org/officeDocument/2006/customXml" ds:itemID="{C1A1B6C7-12C2-4A8F-A5AA-BAD242EB13CA}">
  <ds:schemaRefs/>
</ds:datastoreItem>
</file>

<file path=customXml/itemProps12.xml><?xml version="1.0" encoding="utf-8"?>
<ds:datastoreItem xmlns:ds="http://schemas.openxmlformats.org/officeDocument/2006/customXml" ds:itemID="{1EF749D4-1872-407D-BF75-3B3C67C0CEE1}">
  <ds:schemaRefs/>
</ds:datastoreItem>
</file>

<file path=customXml/itemProps13.xml><?xml version="1.0" encoding="utf-8"?>
<ds:datastoreItem xmlns:ds="http://schemas.openxmlformats.org/officeDocument/2006/customXml" ds:itemID="{6077F17F-6062-486C-93BF-EFD9D8896903}">
  <ds:schemaRefs/>
</ds:datastoreItem>
</file>

<file path=customXml/itemProps14.xml><?xml version="1.0" encoding="utf-8"?>
<ds:datastoreItem xmlns:ds="http://schemas.openxmlformats.org/officeDocument/2006/customXml" ds:itemID="{847ED2A6-52EB-4FF2-B34D-71E0B386CA96}">
  <ds:schemaRefs/>
</ds:datastoreItem>
</file>

<file path=customXml/itemProps15.xml><?xml version="1.0" encoding="utf-8"?>
<ds:datastoreItem xmlns:ds="http://schemas.openxmlformats.org/officeDocument/2006/customXml" ds:itemID="{2303AFE2-51D9-4CCF-AA95-341AEA4C6EA2}">
  <ds:schemaRefs/>
</ds:datastoreItem>
</file>

<file path=customXml/itemProps16.xml><?xml version="1.0" encoding="utf-8"?>
<ds:datastoreItem xmlns:ds="http://schemas.openxmlformats.org/officeDocument/2006/customXml" ds:itemID="{9E0AEF31-5C9A-404E-8BE4-929C9166B34C}">
  <ds:schemaRefs/>
</ds:datastoreItem>
</file>

<file path=customXml/itemProps17.xml><?xml version="1.0" encoding="utf-8"?>
<ds:datastoreItem xmlns:ds="http://schemas.openxmlformats.org/officeDocument/2006/customXml" ds:itemID="{D81790EC-43A6-44F4-8566-D1CA3E61B814}">
  <ds:schemaRefs/>
</ds:datastoreItem>
</file>

<file path=customXml/itemProps18.xml><?xml version="1.0" encoding="utf-8"?>
<ds:datastoreItem xmlns:ds="http://schemas.openxmlformats.org/officeDocument/2006/customXml" ds:itemID="{4D5C7100-FB5E-458B-B643-65213E0DFDB4}">
  <ds:schemaRefs/>
</ds:datastoreItem>
</file>

<file path=customXml/itemProps19.xml><?xml version="1.0" encoding="utf-8"?>
<ds:datastoreItem xmlns:ds="http://schemas.openxmlformats.org/officeDocument/2006/customXml" ds:itemID="{86EA743A-E36E-4C26-B411-8E96B8359626}">
  <ds:schemaRefs/>
</ds:datastoreItem>
</file>

<file path=customXml/itemProps20.xml><?xml version="1.0" encoding="utf-8"?>
<ds:datastoreItem xmlns:ds="http://schemas.openxmlformats.org/officeDocument/2006/customXml" ds:itemID="{738DA0D4-3BE1-4307-BF4D-260989A4B37B}">
  <ds:schemaRefs/>
</ds:datastoreItem>
</file>

<file path=customXml/itemProps21.xml><?xml version="1.0" encoding="utf-8"?>
<ds:datastoreItem xmlns:ds="http://schemas.openxmlformats.org/officeDocument/2006/customXml" ds:itemID="{71F512B6-5976-48E1-B2A0-9CFB05FBBAC7}">
  <ds:schemaRefs/>
</ds:datastoreItem>
</file>

<file path=customXml/itemProps22.xml><?xml version="1.0" encoding="utf-8"?>
<ds:datastoreItem xmlns:ds="http://schemas.openxmlformats.org/officeDocument/2006/customXml" ds:itemID="{D049F34F-622A-46D2-BB6C-93D8CD992C4A}">
  <ds:schemaRefs/>
</ds:datastoreItem>
</file>

<file path=customXml/itemProps23.xml><?xml version="1.0" encoding="utf-8"?>
<ds:datastoreItem xmlns:ds="http://schemas.openxmlformats.org/officeDocument/2006/customXml" ds:itemID="{FD68A864-4EDE-4461-94D2-7C5CA8BD9FA5}">
  <ds:schemaRefs/>
</ds:datastoreItem>
</file>

<file path=customXml/itemProps24.xml><?xml version="1.0" encoding="utf-8"?>
<ds:datastoreItem xmlns:ds="http://schemas.openxmlformats.org/officeDocument/2006/customXml" ds:itemID="{050F5238-C2F1-43C8-A84F-CFB3C94482E9}">
  <ds:schemaRefs/>
</ds:datastoreItem>
</file>

<file path=customXml/itemProps25.xml><?xml version="1.0" encoding="utf-8"?>
<ds:datastoreItem xmlns:ds="http://schemas.openxmlformats.org/officeDocument/2006/customXml" ds:itemID="{BF4A1AD8-93B9-481C-92E2-AE906E1837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Manzony</dc:creator>
  <cp:lastModifiedBy>Gofaster</cp:lastModifiedBy>
  <dcterms:created xsi:type="dcterms:W3CDTF">2015-06-05T18:17:20Z</dcterms:created>
  <dcterms:modified xsi:type="dcterms:W3CDTF">2026-07-20T13:21:43Z</dcterms:modified>
</cp:coreProperties>
</file>